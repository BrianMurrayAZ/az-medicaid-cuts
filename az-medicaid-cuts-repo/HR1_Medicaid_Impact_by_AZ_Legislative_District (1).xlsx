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District Results" sheetId="2" state="visible" r:id="rId2"/>
    <sheet xmlns:r="http://schemas.openxmlformats.org/officeDocument/2006/relationships" name="Assumptions" sheetId="3" state="visible" r:id="rId3"/>
    <sheet xmlns:r="http://schemas.openxmlformats.org/officeDocument/2006/relationships" name="Allocation Keys" sheetId="4" state="visible" r:id="rId4"/>
    <sheet xmlns:r="http://schemas.openxmlformats.org/officeDocument/2006/relationships" name="Calibration" sheetId="5" state="visible" r:id="rId5"/>
    <sheet xmlns:r="http://schemas.openxmlformats.org/officeDocument/2006/relationships" name="Life Expectancy" sheetId="6" state="visible" r:id="rId6"/>
    <sheet xmlns:r="http://schemas.openxmlformats.org/officeDocument/2006/relationships" name="ZIP Code Life Expectancy" sheetId="7" state="visible" r:id="rId7"/>
    <sheet xmlns:r="http://schemas.openxmlformats.org/officeDocument/2006/relationships" name="Sources" sheetId="8" state="visible" r:id="rId8"/>
    <sheet xmlns:r="http://schemas.openxmlformats.org/officeDocument/2006/relationships" name="Method &amp; Caveats" sheetId="9" state="visible" r:id="rId9"/>
    <sheet xmlns:r="http://schemas.openxmlformats.org/officeDocument/2006/relationships" name="Assessment Inputs" sheetId="10" state="visible" r:id="rId10"/>
    <sheet xmlns:r="http://schemas.openxmlformats.org/officeDocument/2006/relationships" name="Assessment by Facility" sheetId="11" state="visible" r:id="rId11"/>
    <sheet xmlns:r="http://schemas.openxmlformats.org/officeDocument/2006/relationships" name="Assessment by System" sheetId="12" state="visible" r:id="rId12"/>
    <sheet xmlns:r="http://schemas.openxmlformats.org/officeDocument/2006/relationships" name="Assessment by District" sheetId="13" state="visible" r:id="rId13"/>
    <sheet xmlns:r="http://schemas.openxmlformats.org/officeDocument/2006/relationships" name="Providers by District" sheetId="14" state="visible" r:id="rId14"/>
    <sheet xmlns:r="http://schemas.openxmlformats.org/officeDocument/2006/relationships" name="Providers by County" sheetId="15" state="visible" r:id="rId15"/>
  </sheets>
  <definedNames/>
  <calcPr calcId="124519" fullCalcOnLoad="1" refMode="A1" iterate="0" iterateCount="100" iterateDelta="0.0001"/>
</workbook>
</file>

<file path=xl/styles.xml><?xml version="1.0" encoding="utf-8"?>
<styleSheet xmlns="http://schemas.openxmlformats.org/spreadsheetml/2006/main">
  <numFmts count="5">
    <numFmt numFmtId="164" formatCode="0.0%"/>
    <numFmt numFmtId="165" formatCode="0.0"/>
    <numFmt numFmtId="166" formatCode="0.000"/>
    <numFmt numFmtId="167" formatCode="\$#,##0"/>
    <numFmt numFmtId="168" formatCode="0.0000"/>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sz val="10"/>
    </font>
    <font>
      <name val="Arial"/>
      <charset val="1"/>
      <family val="0"/>
      <b val="1"/>
      <sz val="10"/>
    </font>
    <font>
      <name val="Arial"/>
      <charset val="1"/>
      <family val="0"/>
      <b val="1"/>
      <color rgb="FFFFFFFF"/>
      <sz val="10"/>
    </font>
    <font>
      <name val="Arial"/>
      <charset val="1"/>
      <family val="0"/>
      <color rgb="FF008000"/>
      <sz val="10"/>
    </font>
    <font>
      <name val="Arial"/>
      <charset val="1"/>
      <family val="0"/>
      <color theme="1"/>
      <sz val="11"/>
    </font>
    <font>
      <name val="Arial"/>
      <family val="2"/>
      <sz val="10"/>
    </font>
    <font>
      <name val="Arial"/>
      <charset val="1"/>
      <family val="0"/>
      <color rgb="FF0000FF"/>
      <sz val="10"/>
    </font>
    <font>
      <name val="Arial"/>
      <charset val="1"/>
      <family val="0"/>
      <color rgb="FF0563C1"/>
      <sz val="10"/>
      <u val="single"/>
    </font>
    <font>
      <name val="Arial"/>
      <charset val="1"/>
      <family val="0"/>
      <b val="1"/>
      <color rgb="FF1F3864"/>
      <sz val="12"/>
    </font>
  </fonts>
  <fills count="3">
    <fill>
      <patternFill/>
    </fill>
    <fill>
      <patternFill patternType="gray125"/>
    </fill>
    <fill>
      <patternFill patternType="solid">
        <fgColor rgb="FF1F3864"/>
        <bgColor rgb="FF333333"/>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0" fillId="0" borderId="0" applyAlignment="1" pivotButton="0" quotePrefix="0" xfId="0">
      <alignment horizontal="general" vertical="top" wrapText="1"/>
    </xf>
    <xf numFmtId="0" fontId="7" fillId="2" borderId="0" applyAlignment="1" pivotButton="0" quotePrefix="0" xfId="0">
      <alignment horizontal="center" vertical="center" wrapText="1"/>
    </xf>
    <xf numFmtId="0" fontId="5" fillId="0" borderId="0" applyAlignment="1" pivotButton="0" quotePrefix="0" xfId="0">
      <alignment horizontal="general" vertical="bottom"/>
    </xf>
    <xf numFmtId="3" fontId="8" fillId="0" borderId="0" applyAlignment="1" pivotButton="0" quotePrefix="0" xfId="0">
      <alignment horizontal="general" vertical="bottom"/>
    </xf>
    <xf numFmtId="3" fontId="5" fillId="0" borderId="0" applyAlignment="1" pivotButton="0" quotePrefix="0" xfId="0">
      <alignment horizontal="general" vertical="bottom"/>
    </xf>
    <xf numFmtId="164" fontId="5" fillId="0" borderId="0" applyAlignment="1" pivotButton="0" quotePrefix="0" xfId="0">
      <alignment horizontal="general" vertical="bottom"/>
    </xf>
    <xf numFmtId="165" fontId="5" fillId="0" borderId="0" applyAlignment="1" pivotButton="0" quotePrefix="0" xfId="0">
      <alignment horizontal="general" vertical="bottom"/>
    </xf>
    <xf numFmtId="165" fontId="8" fillId="0" borderId="0" applyAlignment="1" pivotButton="0" quotePrefix="0" xfId="0">
      <alignment horizontal="general" vertical="bottom"/>
    </xf>
    <xf numFmtId="2" fontId="5" fillId="0" borderId="0" applyAlignment="1" pivotButton="0" quotePrefix="0" xfId="0">
      <alignment horizontal="general" vertical="bottom"/>
    </xf>
    <xf numFmtId="3" fontId="6" fillId="0" borderId="0" applyAlignment="1" pivotButton="0" quotePrefix="0" xfId="0">
      <alignment horizontal="general" vertical="bottom"/>
    </xf>
    <xf numFmtId="164" fontId="6" fillId="0" borderId="0" applyAlignment="1" pivotButton="0" quotePrefix="0" xfId="0">
      <alignment horizontal="general" vertical="bottom"/>
    </xf>
    <xf numFmtId="165" fontId="6" fillId="0" borderId="0" applyAlignment="1" pivotButton="0" quotePrefix="0" xfId="0">
      <alignment horizontal="general" vertical="bottom"/>
    </xf>
    <xf numFmtId="1" fontId="6" fillId="0" borderId="0" applyAlignment="1" pivotButton="0" quotePrefix="0" xfId="0">
      <alignment horizontal="general" vertical="bottom"/>
    </xf>
    <xf numFmtId="2" fontId="6" fillId="0" borderId="0" applyAlignment="1" pivotButton="0" quotePrefix="0" xfId="0">
      <alignment horizontal="general" vertical="bottom"/>
    </xf>
    <xf numFmtId="0" fontId="9" fillId="0" borderId="0" applyAlignment="1" pivotButton="0" quotePrefix="0" xfId="0">
      <alignment horizontal="general" vertical="bottom"/>
    </xf>
    <xf numFmtId="0" fontId="5" fillId="0" borderId="0" applyAlignment="1" pivotButton="0" quotePrefix="0" xfId="0">
      <alignment horizontal="general" vertical="top" wrapText="1"/>
    </xf>
    <xf numFmtId="3" fontId="11" fillId="0" borderId="0" applyAlignment="1" pivotButton="0" quotePrefix="0" xfId="0">
      <alignment horizontal="general" vertical="bottom"/>
    </xf>
    <xf numFmtId="164" fontId="11" fillId="0" borderId="0" applyAlignment="1" pivotButton="0" quotePrefix="0" xfId="0">
      <alignment horizontal="general" vertical="bottom"/>
    </xf>
    <xf numFmtId="166" fontId="11" fillId="0" borderId="0" applyAlignment="1" pivotButton="0" quotePrefix="0" xfId="0">
      <alignment horizontal="general" vertical="bottom"/>
    </xf>
    <xf numFmtId="10" fontId="11" fillId="0" borderId="0" applyAlignment="1" pivotButton="0" quotePrefix="0" xfId="0">
      <alignment horizontal="general" vertical="bottom"/>
    </xf>
    <xf numFmtId="10" fontId="6" fillId="0" borderId="0" applyAlignment="1" pivotButton="0" quotePrefix="0" xfId="0">
      <alignment horizontal="general" vertical="bottom"/>
    </xf>
    <xf numFmtId="166" fontId="5" fillId="0" borderId="0" applyAlignment="1" pivotButton="0" quotePrefix="0" xfId="0">
      <alignment horizontal="general" vertical="bottom"/>
    </xf>
    <xf numFmtId="165" fontId="11" fillId="0" borderId="0" applyAlignment="1" pivotButton="0" quotePrefix="0" xfId="0">
      <alignment horizontal="general" vertical="bottom"/>
    </xf>
    <xf numFmtId="9" fontId="11" fillId="0" borderId="0" applyAlignment="1" pivotButton="0" quotePrefix="0" xfId="0">
      <alignment horizontal="general" vertical="bottom"/>
    </xf>
    <xf numFmtId="2" fontId="11" fillId="0" borderId="0" applyAlignment="1" pivotButton="0" quotePrefix="0" xfId="0">
      <alignment horizontal="general" vertical="bottom"/>
    </xf>
    <xf numFmtId="9" fontId="5" fillId="0" borderId="0" applyAlignment="1" pivotButton="0" quotePrefix="0" xfId="0">
      <alignment horizontal="general" vertical="bottom"/>
    </xf>
    <xf numFmtId="0" fontId="12" fillId="0" borderId="0" applyAlignment="1" pivotButton="0" quotePrefix="0" xfId="0">
      <alignment horizontal="general" vertical="top" wrapText="1"/>
    </xf>
    <xf numFmtId="0" fontId="13" fillId="0" borderId="0" applyAlignment="1" pivotButton="0" quotePrefix="0" xfId="0">
      <alignment horizontal="general" vertical="bottom"/>
    </xf>
    <xf numFmtId="167" fontId="11" fillId="0" borderId="0" applyAlignment="1" pivotButton="0" quotePrefix="0" xfId="0">
      <alignment horizontal="general" vertical="bottom"/>
    </xf>
    <xf numFmtId="1" fontId="11" fillId="0" borderId="0" applyAlignment="1" pivotButton="0" quotePrefix="0" xfId="0">
      <alignment horizontal="general" vertical="bottom"/>
    </xf>
    <xf numFmtId="168" fontId="5" fillId="0" borderId="0" applyAlignment="1" pivotButton="0" quotePrefix="0" xfId="0">
      <alignment horizontal="general" vertical="bottom"/>
    </xf>
    <xf numFmtId="167" fontId="5" fillId="0" borderId="0" applyAlignment="1" pivotButton="0" quotePrefix="0" xfId="0">
      <alignment horizontal="general" vertical="bottom"/>
    </xf>
    <xf numFmtId="167" fontId="6" fillId="0" borderId="0" applyAlignment="1" pivotButton="0" quotePrefix="0" xfId="0">
      <alignment horizontal="general" vertical="bottom"/>
    </xf>
    <xf numFmtId="167" fontId="8" fillId="0" borderId="0" applyAlignment="1" pivotButton="0" quotePrefix="0" xfId="0">
      <alignment horizontal="general" vertical="bottom"/>
    </xf>
    <xf numFmtId="0" fontId="11" fillId="0" borderId="0" applyAlignment="1" pivotButton="0" quotePrefix="0" xfId="0">
      <alignment horizontal="general" vertical="bottom"/>
    </xf>
    <xf numFmtId="0" fontId="5" fillId="0" borderId="0" applyAlignment="1" pivotButton="0" quotePrefix="0" xfId="0">
      <alignment horizontal="general" vertical="bottom"/>
    </xf>
    <xf numFmtId="165"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0" fillId="0" borderId="0" applyAlignment="1" pivotButton="0" quotePrefix="0" xfId="0">
      <alignment horizontal="general" vertical="top" wrapText="1"/>
    </xf>
    <xf numFmtId="0" fontId="7" fillId="2" borderId="0" applyAlignment="1" pivotButton="0" quotePrefix="0" xfId="0">
      <alignment horizontal="center" vertical="center" wrapText="1"/>
    </xf>
    <xf numFmtId="0" fontId="5" fillId="0" borderId="0" applyAlignment="1" pivotButton="0" quotePrefix="0" xfId="0">
      <alignment horizontal="general" vertical="bottom"/>
    </xf>
    <xf numFmtId="3" fontId="8" fillId="0" borderId="0" applyAlignment="1" pivotButton="0" quotePrefix="0" xfId="0">
      <alignment horizontal="general" vertical="bottom"/>
    </xf>
    <xf numFmtId="3" fontId="5" fillId="0" borderId="0" applyAlignment="1" pivotButton="0" quotePrefix="0" xfId="0">
      <alignment horizontal="general" vertical="bottom"/>
    </xf>
    <xf numFmtId="164" fontId="5" fillId="0" borderId="0" applyAlignment="1" pivotButton="0" quotePrefix="0" xfId="0">
      <alignment horizontal="general" vertical="bottom"/>
    </xf>
    <xf numFmtId="165" fontId="5" fillId="0" borderId="0" applyAlignment="1" pivotButton="0" quotePrefix="0" xfId="0">
      <alignment horizontal="general" vertical="bottom"/>
    </xf>
    <xf numFmtId="165" fontId="8" fillId="0" borderId="0" applyAlignment="1" pivotButton="0" quotePrefix="0" xfId="0">
      <alignment horizontal="general" vertical="bottom"/>
    </xf>
    <xf numFmtId="2" fontId="5" fillId="0" borderId="0" applyAlignment="1" pivotButton="0" quotePrefix="0" xfId="0">
      <alignment horizontal="general" vertical="bottom"/>
    </xf>
    <xf numFmtId="3" fontId="6" fillId="0" borderId="0" applyAlignment="1" pivotButton="0" quotePrefix="0" xfId="0">
      <alignment horizontal="general" vertical="bottom"/>
    </xf>
    <xf numFmtId="164" fontId="6" fillId="0" borderId="0" applyAlignment="1" pivotButton="0" quotePrefix="0" xfId="0">
      <alignment horizontal="general" vertical="bottom"/>
    </xf>
    <xf numFmtId="165" fontId="6" fillId="0" borderId="0" applyAlignment="1" pivotButton="0" quotePrefix="0" xfId="0">
      <alignment horizontal="general" vertical="bottom"/>
    </xf>
    <xf numFmtId="1" fontId="6" fillId="0" borderId="0" applyAlignment="1" pivotButton="0" quotePrefix="0" xfId="0">
      <alignment horizontal="general" vertical="bottom"/>
    </xf>
    <xf numFmtId="2" fontId="6" fillId="0" borderId="0" applyAlignment="1" pivotButton="0" quotePrefix="0" xfId="0">
      <alignment horizontal="general" vertical="bottom"/>
    </xf>
    <xf numFmtId="0" fontId="9" fillId="0" borderId="0" applyAlignment="1" pivotButton="0" quotePrefix="0" xfId="0">
      <alignment horizontal="general" vertical="bottom"/>
    </xf>
    <xf numFmtId="3" fontId="11" fillId="0" borderId="0" applyAlignment="1" pivotButton="0" quotePrefix="0" xfId="0">
      <alignment horizontal="general" vertical="bottom"/>
    </xf>
    <xf numFmtId="164" fontId="11" fillId="0" borderId="0" applyAlignment="1" pivotButton="0" quotePrefix="0" xfId="0">
      <alignment horizontal="general" vertical="bottom"/>
    </xf>
    <xf numFmtId="166" fontId="11" fillId="0" borderId="0" applyAlignment="1" pivotButton="0" quotePrefix="0" xfId="0">
      <alignment horizontal="general" vertical="bottom"/>
    </xf>
    <xf numFmtId="10" fontId="11" fillId="0" borderId="0" applyAlignment="1" pivotButton="0" quotePrefix="0" xfId="0">
      <alignment horizontal="general" vertical="bottom"/>
    </xf>
    <xf numFmtId="10" fontId="6" fillId="0" borderId="0" applyAlignment="1" pivotButton="0" quotePrefix="0" xfId="0">
      <alignment horizontal="general" vertical="bottom"/>
    </xf>
    <xf numFmtId="166" fontId="5" fillId="0" borderId="0" applyAlignment="1" pivotButton="0" quotePrefix="0" xfId="0">
      <alignment horizontal="general" vertical="bottom"/>
    </xf>
    <xf numFmtId="165" fontId="11" fillId="0" borderId="0" applyAlignment="1" pivotButton="0" quotePrefix="0" xfId="0">
      <alignment horizontal="general" vertical="bottom"/>
    </xf>
    <xf numFmtId="9" fontId="11" fillId="0" borderId="0" applyAlignment="1" pivotButton="0" quotePrefix="0" xfId="0">
      <alignment horizontal="general" vertical="bottom"/>
    </xf>
    <xf numFmtId="2" fontId="11" fillId="0" borderId="0" applyAlignment="1" pivotButton="0" quotePrefix="0" xfId="0">
      <alignment horizontal="general" vertical="bottom"/>
    </xf>
    <xf numFmtId="9" fontId="5" fillId="0" borderId="0" applyAlignment="1" pivotButton="0" quotePrefix="0" xfId="0">
      <alignment horizontal="general" vertical="bottom"/>
    </xf>
    <xf numFmtId="0" fontId="12" fillId="0" borderId="0" applyAlignment="1" pivotButton="0" quotePrefix="0" xfId="0">
      <alignment horizontal="general" vertical="top" wrapText="1"/>
    </xf>
    <xf numFmtId="0" fontId="13" fillId="0" borderId="0" applyAlignment="1" pivotButton="0" quotePrefix="0" xfId="0">
      <alignment horizontal="general" vertical="bottom"/>
    </xf>
    <xf numFmtId="167" fontId="11" fillId="0" borderId="0" applyAlignment="1" pivotButton="0" quotePrefix="0" xfId="0">
      <alignment horizontal="general" vertical="bottom"/>
    </xf>
    <xf numFmtId="1" fontId="11" fillId="0" borderId="0" applyAlignment="1" pivotButton="0" quotePrefix="0" xfId="0">
      <alignment horizontal="general" vertical="bottom"/>
    </xf>
    <xf numFmtId="168" fontId="5" fillId="0" borderId="0" applyAlignment="1" pivotButton="0" quotePrefix="0" xfId="0">
      <alignment horizontal="general" vertical="bottom"/>
    </xf>
    <xf numFmtId="167" fontId="5" fillId="0" borderId="0" applyAlignment="1" pivotButton="0" quotePrefix="0" xfId="0">
      <alignment horizontal="general" vertical="bottom"/>
    </xf>
    <xf numFmtId="167" fontId="6" fillId="0" borderId="0" applyAlignment="1" pivotButton="0" quotePrefix="0" xfId="0">
      <alignment horizontal="general" vertical="bottom"/>
    </xf>
    <xf numFmtId="167" fontId="8" fillId="0" borderId="0" applyAlignment="1" pivotButton="0" quotePrefix="0" xfId="0">
      <alignment horizontal="general" vertical="bottom"/>
    </xf>
    <xf numFmtId="0" fontId="11"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Unknown Author</author>
  </authors>
  <commentList>
    <comment ref="U2" authorId="0" shapeId="0">
      <text>
        <t>Model life-table result: -0.0651 years. Cell = deaths x model sensitivity (-0.008367 yr per death/yr), so it moves with the inputs.</t>
      </text>
    </comment>
    <comment ref="V2" authorId="0" shapeId="0">
      <text>
        <t>Model life-table result: -0.1573 years. Cell = deaths x model sensitivity (-0.008355 yr per death/yr), so it moves with the inputs.</t>
      </text>
    </comment>
    <comment ref="W2" authorId="0" shapeId="0">
      <text>
        <t>Model life-table result: -0.3190 years. Cell = deaths x model sensitivity (-0.008335 yr per death/yr), so it moves with the inputs.</t>
      </text>
    </comment>
    <comment ref="U3" authorId="0" shapeId="0">
      <text>
        <t>Model life-table result: -0.0669 years. Cell = deaths x model sensitivity (-0.008323 yr per death/yr), so it moves with the inputs.</t>
      </text>
    </comment>
    <comment ref="V3" authorId="0" shapeId="0">
      <text>
        <t>Model life-table result: -0.1617 years. Cell = deaths x model sensitivity (-0.008312 yr per death/yr), so it moves with the inputs.</t>
      </text>
    </comment>
    <comment ref="W3" authorId="0" shapeId="0">
      <text>
        <t>Model life-table result: -0.3280 years. Cell = deaths x model sensitivity (-0.008291 yr per death/yr), so it moves with the inputs.</t>
      </text>
    </comment>
    <comment ref="U4" authorId="0" shapeId="0">
      <text>
        <t>Model life-table result: -0.0258 years. Cell = deaths x model sensitivity (-0.009812 yr per death/yr), so it moves with the inputs.</t>
      </text>
    </comment>
    <comment ref="V4" authorId="0" shapeId="0">
      <text>
        <t>Model life-table result: -0.0624 years. Cell = deaths x model sensitivity (-0.009807 yr per death/yr), so it moves with the inputs.</t>
      </text>
    </comment>
    <comment ref="W4" authorId="0" shapeId="0">
      <text>
        <t>Model life-table result: -0.1269 years. Cell = deaths x model sensitivity (-0.009800 yr per death/yr), so it moves with the inputs.</t>
      </text>
    </comment>
    <comment ref="U5" authorId="0" shapeId="0">
      <text>
        <t>Model life-table result: -0.0399 years. Cell = deaths x model sensitivity (-0.008684 yr per death/yr), so it moves with the inputs.</t>
      </text>
    </comment>
    <comment ref="V5" authorId="0" shapeId="0">
      <text>
        <t>Model life-table result: -0.0965 years. Cell = deaths x model sensitivity (-0.008678 yr per death/yr), so it moves with the inputs.</t>
      </text>
    </comment>
    <comment ref="W5" authorId="0" shapeId="0">
      <text>
        <t>Model life-table result: -0.1960 years. Cell = deaths x model sensitivity (-0.008666 yr per death/yr), so it moves with the inputs.</t>
      </text>
    </comment>
    <comment ref="U6" authorId="0" shapeId="0">
      <text>
        <t>Model life-table result: -0.0737 years. Cell = deaths x model sensitivity (-0.008288 yr per death/yr), so it moves with the inputs.</t>
      </text>
    </comment>
    <comment ref="V6" authorId="0" shapeId="0">
      <text>
        <t>Model life-table result: -0.1781 years. Cell = deaths x model sensitivity (-0.008274 yr per death/yr), so it moves with the inputs.</t>
      </text>
    </comment>
    <comment ref="W6" authorId="0" shapeId="0">
      <text>
        <t>Model life-table result: -0.3610 years. Cell = deaths x model sensitivity (-0.008251 yr per death/yr), so it moves with the inputs.</t>
      </text>
    </comment>
    <comment ref="U7" authorId="0" shapeId="0">
      <text>
        <t>Model life-table result: -0.0628 years. Cell = deaths x model sensitivity (-0.007880 yr per death/yr), so it moves with the inputs.</t>
      </text>
    </comment>
    <comment ref="V7" authorId="0" shapeId="0">
      <text>
        <t>Model life-table result: -0.1518 years. Cell = deaths x model sensitivity (-0.007868 yr per death/yr), so it moves with the inputs.</t>
      </text>
    </comment>
    <comment ref="W7" authorId="0" shapeId="0">
      <text>
        <t>Model life-table result: -0.3077 years. Cell = deaths x model sensitivity (-0.007847 yr per death/yr), so it moves with the inputs.</t>
      </text>
    </comment>
    <comment ref="U8" authorId="0" shapeId="0">
      <text>
        <t>Model life-table result: -0.0637 years. Cell = deaths x model sensitivity (-0.008748 yr per death/yr), so it moves with the inputs.</t>
      </text>
    </comment>
    <comment ref="V8" authorId="0" shapeId="0">
      <text>
        <t>Model life-table result: -0.1539 years. Cell = deaths x model sensitivity (-0.008736 yr per death/yr), so it moves with the inputs.</t>
      </text>
    </comment>
    <comment ref="W8" authorId="0" shapeId="0">
      <text>
        <t>Model life-table result: -0.3121 years. Cell = deaths x model sensitivity (-0.008714 yr per death/yr), so it moves with the inputs.</t>
      </text>
    </comment>
    <comment ref="U9" authorId="0" shapeId="0">
      <text>
        <t>Model life-table result: -0.0660 years. Cell = deaths x model sensitivity (-0.009624 yr per death/yr), so it moves with the inputs.</t>
      </text>
    </comment>
    <comment ref="V9" authorId="0" shapeId="0">
      <text>
        <t>Model life-table result: -0.1595 years. Cell = deaths x model sensitivity (-0.009610 yr per death/yr), so it moves with the inputs.</t>
      </text>
    </comment>
    <comment ref="W9" authorId="0" shapeId="0">
      <text>
        <t>Model life-table result: -0.3235 years. Cell = deaths x model sensitivity (-0.009586 yr per death/yr), so it moves with the inputs.</t>
      </text>
    </comment>
    <comment ref="U10" authorId="0" shapeId="0">
      <text>
        <t>Model life-table result: -0.0787 years. Cell = deaths x model sensitivity (-0.009596 yr per death/yr), so it moves with the inputs.</t>
      </text>
    </comment>
    <comment ref="V10" authorId="0" shapeId="0">
      <text>
        <t>Model life-table result: -0.1902 years. Cell = deaths x model sensitivity (-0.009580 yr per death/yr), so it moves with the inputs.</t>
      </text>
    </comment>
    <comment ref="W10" authorId="0" shapeId="0">
      <text>
        <t>Model life-table result: -0.3856 years. Cell = deaths x model sensitivity (-0.009552 yr per death/yr), so it moves with the inputs.</t>
      </text>
    </comment>
    <comment ref="U11" authorId="0" shapeId="0">
      <text>
        <t>Model life-table result: -0.0556 years. Cell = deaths x model sensitivity (-0.008743 yr per death/yr), so it moves with the inputs.</t>
      </text>
    </comment>
    <comment ref="V11" authorId="0" shapeId="0">
      <text>
        <t>Model life-table result: -0.1343 years. Cell = deaths x model sensitivity (-0.008733 yr per death/yr), so it moves with the inputs.</t>
      </text>
    </comment>
    <comment ref="W11" authorId="0" shapeId="0">
      <text>
        <t>Model life-table result: -0.2726 years. Cell = deaths x model sensitivity (-0.008715 yr per death/yr), so it moves with the inputs.</t>
      </text>
    </comment>
    <comment ref="U12" authorId="0" shapeId="0">
      <text>
        <t>Model life-table result: -0.0918 years. Cell = deaths x model sensitivity (-0.009195 yr per death/yr), so it moves with the inputs.</t>
      </text>
    </comment>
    <comment ref="V12" authorId="0" shapeId="0">
      <text>
        <t>Model life-table result: -0.2217 years. Cell = deaths x model sensitivity (-0.009176 yr per death/yr), so it moves with the inputs.</t>
      </text>
    </comment>
    <comment ref="W12" authorId="0" shapeId="0">
      <text>
        <t>Model life-table result: -0.4492 years. Cell = deaths x model sensitivity (-0.009144 yr per death/yr), so it moves with the inputs.</t>
      </text>
    </comment>
    <comment ref="U13" authorId="0" shapeId="0">
      <text>
        <t>Model life-table result: -0.0377 years. Cell = deaths x model sensitivity (-0.009157 yr per death/yr), so it moves with the inputs.</t>
      </text>
    </comment>
    <comment ref="V13" authorId="0" shapeId="0">
      <text>
        <t>Model life-table result: -0.0911 years. Cell = deaths x model sensitivity (-0.009150 yr per death/yr), so it moves with the inputs.</t>
      </text>
    </comment>
    <comment ref="W13" authorId="0" shapeId="0">
      <text>
        <t>Model life-table result: -0.1850 years. Cell = deaths x model sensitivity (-0.009139 yr per death/yr), so it moves with the inputs.</t>
      </text>
    </comment>
    <comment ref="U14" authorId="0" shapeId="0">
      <text>
        <t>Model life-table result: -0.0384 years. Cell = deaths x model sensitivity (-0.009963 yr per death/yr), so it moves with the inputs.</t>
      </text>
    </comment>
    <comment ref="V14" authorId="0" shapeId="0">
      <text>
        <t>Model life-table result: -0.0929 years. Cell = deaths x model sensitivity (-0.009956 yr per death/yr), so it moves with the inputs.</t>
      </text>
    </comment>
    <comment ref="W14" authorId="0" shapeId="0">
      <text>
        <t>Model life-table result: -0.1886 years. Cell = deaths x model sensitivity (-0.009943 yr per death/yr), so it moves with the inputs.</t>
      </text>
    </comment>
    <comment ref="U15" authorId="0" shapeId="0">
      <text>
        <t>Model life-table result: -0.0319 years. Cell = deaths x model sensitivity (-0.009801 yr per death/yr), so it moves with the inputs.</t>
      </text>
    </comment>
    <comment ref="V15" authorId="0" shapeId="0">
      <text>
        <t>Model life-table result: -0.0771 years. Cell = deaths x model sensitivity (-0.009796 yr per death/yr), so it moves with the inputs.</t>
      </text>
    </comment>
    <comment ref="W15" authorId="0" shapeId="0">
      <text>
        <t>Model life-table result: -0.1565 years. Cell = deaths x model sensitivity (-0.009785 yr per death/yr), so it moves with the inputs.</t>
      </text>
    </comment>
    <comment ref="U16" authorId="0" shapeId="0">
      <text>
        <t>Model life-table result: -0.0432 years. Cell = deaths x model sensitivity (-0.009366 yr per death/yr), so it moves with the inputs.</t>
      </text>
    </comment>
    <comment ref="V16" authorId="0" shapeId="0">
      <text>
        <t>Model life-table result: -0.1045 years. Cell = deaths x model sensitivity (-0.009358 yr per death/yr), so it moves with the inputs.</t>
      </text>
    </comment>
    <comment ref="W16" authorId="0" shapeId="0">
      <text>
        <t>Model life-table result: -0.2121 years. Cell = deaths x model sensitivity (-0.009344 yr per death/yr), so it moves with the inputs.</t>
      </text>
    </comment>
    <comment ref="U17" authorId="0" shapeId="0">
      <text>
        <t>Model life-table result: -0.0710 years. Cell = deaths x model sensitivity (-0.009282 yr per death/yr), so it moves with the inputs.</t>
      </text>
    </comment>
    <comment ref="V17" authorId="0" shapeId="0">
      <text>
        <t>Model life-table result: -0.1715 years. Cell = deaths x model sensitivity (-0.009269 yr per death/yr), so it moves with the inputs.</t>
      </text>
    </comment>
    <comment ref="W17" authorId="0" shapeId="0">
      <text>
        <t>Model life-table result: -0.3478 years. Cell = deaths x model sensitivity (-0.009245 yr per death/yr), so it moves with the inputs.</t>
      </text>
    </comment>
    <comment ref="U18" authorId="0" shapeId="0">
      <text>
        <t>Model life-table result: -0.0464 years. Cell = deaths x model sensitivity (-0.009816 yr per death/yr), so it moves with the inputs.</t>
      </text>
    </comment>
    <comment ref="V18" authorId="0" shapeId="0">
      <text>
        <t>Model life-table result: -0.1122 years. Cell = deaths x model sensitivity (-0.009807 yr per death/yr), so it moves with the inputs.</t>
      </text>
    </comment>
    <comment ref="W18" authorId="0" shapeId="0">
      <text>
        <t>Model life-table result: -0.2277 years. Cell = deaths x model sensitivity (-0.009792 yr per death/yr), so it moves with the inputs.</t>
      </text>
    </comment>
    <comment ref="U19" authorId="0" shapeId="0">
      <text>
        <t>Model life-table result: -0.0713 years. Cell = deaths x model sensitivity (-0.009039 yr per death/yr), so it moves with the inputs.</t>
      </text>
    </comment>
    <comment ref="V19" authorId="0" shapeId="0">
      <text>
        <t>Model life-table result: -0.1724 years. Cell = deaths x model sensitivity (-0.009025 yr per death/yr), so it moves with the inputs.</t>
      </text>
    </comment>
    <comment ref="W19" authorId="0" shapeId="0">
      <text>
        <t>Model life-table result: -0.3496 years. Cell = deaths x model sensitivity (-0.009002 yr per death/yr), so it moves with the inputs.</t>
      </text>
    </comment>
    <comment ref="U20" authorId="0" shapeId="0">
      <text>
        <t>Model life-table result: -0.0876 years. Cell = deaths x model sensitivity (-0.011107 yr per death/yr), so it moves with the inputs.</t>
      </text>
    </comment>
    <comment ref="V20" authorId="0" shapeId="0">
      <text>
        <t>Model life-table result: -0.2115 years. Cell = deaths x model sensitivity (-0.011088 yr per death/yr), so it moves with the inputs.</t>
      </text>
    </comment>
    <comment ref="W20" authorId="0" shapeId="0">
      <text>
        <t>Model life-table result: -0.4286 years. Cell = deaths x model sensitivity (-0.011053 yr per death/yr), so it moves with the inputs.</t>
      </text>
    </comment>
    <comment ref="U21" authorId="0" shapeId="0">
      <text>
        <t>Model life-table result: -0.1013 years. Cell = deaths x model sensitivity (-0.009587 yr per death/yr), so it moves with the inputs.</t>
      </text>
    </comment>
    <comment ref="V21" authorId="0" shapeId="0">
      <text>
        <t>Model life-table result: -0.2446 years. Cell = deaths x model sensitivity (-0.009566 yr per death/yr), so it moves with the inputs.</t>
      </text>
    </comment>
    <comment ref="W21" authorId="0" shapeId="0">
      <text>
        <t>Model life-table result: -0.4953 years. Cell = deaths x model sensitivity (-0.009528 yr per death/yr), so it moves with the inputs.</t>
      </text>
    </comment>
    <comment ref="U22" authorId="0" shapeId="0">
      <text>
        <t>Model life-table result: -0.1065 years. Cell = deaths x model sensitivity (-0.009774 yr per death/yr), so it moves with the inputs.</t>
      </text>
    </comment>
    <comment ref="V22" authorId="0" shapeId="0">
      <text>
        <t>Model life-table result: -0.2573 years. Cell = deaths x model sensitivity (-0.009752 yr per death/yr), so it moves with the inputs.</t>
      </text>
    </comment>
    <comment ref="W22" authorId="0" shapeId="0">
      <text>
        <t>Model life-table result: -0.5211 years. Cell = deaths x model sensitivity (-0.009715 yr per death/yr), so it moves with the inputs.</t>
      </text>
    </comment>
    <comment ref="U23" authorId="0" shapeId="0">
      <text>
        <t>Model life-table result: -0.0814 years. Cell = deaths x model sensitivity (-0.009017 yr per death/yr), so it moves with the inputs.</t>
      </text>
    </comment>
    <comment ref="V23" authorId="0" shapeId="0">
      <text>
        <t>Model life-table result: -0.1966 years. Cell = deaths x model sensitivity (-0.009002 yr per death/yr), so it moves with the inputs.</t>
      </text>
    </comment>
    <comment ref="W23" authorId="0" shapeId="0">
      <text>
        <t>Model life-table result: -0.3985 years. Cell = deaths x model sensitivity (-0.008975 yr per death/yr), so it moves with the inputs.</t>
      </text>
    </comment>
    <comment ref="U24" authorId="0" shapeId="0">
      <text>
        <t>Model life-table result: -0.1047 years. Cell = deaths x model sensitivity (-0.010380 yr per death/yr), so it moves with the inputs.</t>
      </text>
    </comment>
    <comment ref="V24" authorId="0" shapeId="0">
      <text>
        <t>Model life-table result: -0.2530 years. Cell = deaths x model sensitivity (-0.010359 yr per death/yr), so it moves with the inputs.</t>
      </text>
    </comment>
    <comment ref="W24" authorId="0" shapeId="0">
      <text>
        <t>Model life-table result: -0.5125 years. Cell = deaths x model sensitivity (-0.010321 yr per death/yr), so it moves with the inputs.</t>
      </text>
    </comment>
    <comment ref="U25" authorId="0" shapeId="0">
      <text>
        <t>Model life-table result: -0.1166 years. Cell = deaths x model sensitivity (-0.009914 yr per death/yr), so it moves with the inputs.</t>
      </text>
    </comment>
    <comment ref="V25" authorId="0" shapeId="0">
      <text>
        <t>Model life-table result: -0.2814 years. Cell = deaths x model sensitivity (-0.009889 yr per death/yr), so it moves with the inputs.</t>
      </text>
    </comment>
    <comment ref="W25" authorId="0" shapeId="0">
      <text>
        <t>Model life-table result: -0.5696 years. Cell = deaths x model sensitivity (-0.009846 yr per death/yr), so it moves with the inputs.</t>
      </text>
    </comment>
    <comment ref="U26" authorId="0" shapeId="0">
      <text>
        <t>Model life-table result: -0.0704 years. Cell = deaths x model sensitivity (-0.009811 yr per death/yr), so it moves with the inputs.</t>
      </text>
    </comment>
    <comment ref="V26" authorId="0" shapeId="0">
      <text>
        <t>Model life-table result: -0.1700 years. Cell = deaths x model sensitivity (-0.009797 yr per death/yr), so it moves with the inputs.</t>
      </text>
    </comment>
    <comment ref="W26" authorId="0" shapeId="0">
      <text>
        <t>Model life-table result: -0.3448 years. Cell = deaths x model sensitivity (-0.009772 yr per death/yr), so it moves with the inputs.</t>
      </text>
    </comment>
    <comment ref="U27" authorId="0" shapeId="0">
      <text>
        <t>Model life-table result: -0.1257 years. Cell = deaths x model sensitivity (-0.009582 yr per death/yr), so it moves with the inputs.</t>
      </text>
    </comment>
    <comment ref="V27" authorId="0" shapeId="0">
      <text>
        <t>Model life-table result: -0.3034 years. Cell = deaths x model sensitivity (-0.009556 yr per death/yr), so it moves with the inputs.</t>
      </text>
    </comment>
    <comment ref="W27" authorId="0" shapeId="0">
      <text>
        <t>Model life-table result: -0.6139 years. Cell = deaths x model sensitivity (-0.009511 yr per death/yr), so it moves with the inputs.</t>
      </text>
    </comment>
    <comment ref="U28" authorId="0" shapeId="0">
      <text>
        <t>Model life-table result: -0.0733 years. Cell = deaths x model sensitivity (-0.008708 yr per death/yr), so it moves with the inputs.</t>
      </text>
    </comment>
    <comment ref="V28" authorId="0" shapeId="0">
      <text>
        <t>Model life-table result: -0.1772 years. Cell = deaths x model sensitivity (-0.008695 yr per death/yr), so it moves with the inputs.</t>
      </text>
    </comment>
    <comment ref="W28" authorId="0" shapeId="0">
      <text>
        <t>Model life-table result: -0.3594 years. Cell = deaths x model sensitivity (-0.008673 yr per death/yr), so it moves with the inputs.</t>
      </text>
    </comment>
    <comment ref="U29" authorId="0" shapeId="0">
      <text>
        <t>Model life-table result: -0.0429 years. Cell = deaths x model sensitivity (-0.010140 yr per death/yr), so it moves with the inputs.</t>
      </text>
    </comment>
    <comment ref="V29" authorId="0" shapeId="0">
      <text>
        <t>Model life-table result: -0.1037 years. Cell = deaths x model sensitivity (-0.010131 yr per death/yr), so it moves with the inputs.</t>
      </text>
    </comment>
    <comment ref="W29" authorId="0" shapeId="0">
      <text>
        <t>Model life-table result: -0.2104 years. Cell = deaths x model sensitivity (-0.010115 yr per death/yr), so it moves with the inputs.</t>
      </text>
    </comment>
    <comment ref="U30" authorId="0" shapeId="0">
      <text>
        <t>Model life-table result: -0.0612 years. Cell = deaths x model sensitivity (-0.009178 yr per death/yr), so it moves with the inputs.</t>
      </text>
    </comment>
    <comment ref="V30" authorId="0" shapeId="0">
      <text>
        <t>Model life-table result: -0.1479 years. Cell = deaths x model sensitivity (-0.009167 yr per death/yr), so it moves with the inputs.</t>
      </text>
    </comment>
    <comment ref="W30" authorId="0" shapeId="0">
      <text>
        <t>Model life-table result: -0.3001 years. Cell = deaths x model sensitivity (-0.009146 yr per death/yr), so it moves with the inputs.</t>
      </text>
    </comment>
    <comment ref="U31" authorId="0" shapeId="0">
      <text>
        <t>Model life-table result: -0.0832 years. Cell = deaths x model sensitivity (-0.007656 yr per death/yr), so it moves with the inputs.</t>
      </text>
    </comment>
    <comment ref="V31" authorId="0" shapeId="0">
      <text>
        <t>Model life-table result: -0.2009 years. Cell = deaths x model sensitivity (-0.007641 yr per death/yr), so it moves with the inputs.</t>
      </text>
    </comment>
    <comment ref="W31" authorId="0" shapeId="0">
      <text>
        <t>Model life-table result: -0.4072 years. Cell = deaths x model sensitivity (-0.007616 yr per death/yr), so it moves with the inputs.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hyperlink" Target="https://www.rand.org/pubs/research_reports/RRA4098-1-v2.html" TargetMode="External" Id="rId1"/><Relationship Type="http://schemas.openxmlformats.org/officeDocument/2006/relationships/hyperlink" Target="https://www.kff.org/uninsured/how-will-the-2025-reconciliation-law-affect-the-uninsured-rate-in-each-state/" TargetMode="External" Id="rId2"/><Relationship Type="http://schemas.openxmlformats.org/officeDocument/2006/relationships/hyperlink" Target="https://www.urban.org/research/publication/projected-reductions-medicaid-expansion-enrollment-under-obbbas-work" TargetMode="External" Id="rId3"/><Relationship Type="http://schemas.openxmlformats.org/officeDocument/2006/relationships/hyperlink" Target="https://azpha.org/2026/08/31/arizonas-first-h-r-1-medicaid-cuts-arrive-october-1-refugees-asylees-other-legally-present-people-are-1st-in-line-for-cuts/" TargetMode="External" Id="rId4"/><Relationship Type="http://schemas.openxmlformats.org/officeDocument/2006/relationships/hyperlink" Target="https://www.azjlbc.gov/revenues/2025federalbudgetreconciliationbill-stateimpact0108.pdf" TargetMode="External" Id="rId5"/><Relationship Type="http://schemas.openxmlformats.org/officeDocument/2006/relationships/hyperlink" Target="https://www.kff.org/medicaid/allocating-cbos-estimates-of-federal-medicaid-spending-reductions-across-the-states-enacted-reconciliation-package/" TargetMode="External" Id="rId6"/><Relationship Type="http://schemas.openxmlformats.org/officeDocument/2006/relationships/hyperlink" Target="https://www.kff.org/medicaid/allocating-cbos-estimates-of-federal-medicaid-spending-reductions-and-enrollment-loss-across-the-states/" TargetMode="External" Id="rId7"/><Relationship Type="http://schemas.openxmlformats.org/officeDocument/2006/relationships/hyperlink" Target="https://www.cbo.gov/system/files/2025-10/PL-119-21-Medicaid%20_0.pdf" TargetMode="External" Id="rId8"/><Relationship Type="http://schemas.openxmlformats.org/officeDocument/2006/relationships/hyperlink" Target="https://www.cms.gov/newsroom/fact-sheets/medicaid-community-engagement-requirement-certain-individuals-interim-final-rule-comment-period-cms" TargetMode="External" Id="rId9"/><Relationship Type="http://schemas.openxmlformats.org/officeDocument/2006/relationships/hyperlink" Target="https://www.azahcccs.gov/Resources/Downloads/PopulationStatistics/PopulationbyCategory08062026.pdf" TargetMode="External" Id="rId10"/><Relationship Type="http://schemas.openxmlformats.org/officeDocument/2006/relationships/hyperlink" Target="https://www.azahcccs.gov/AHCCCS/Downloads/AHCCCS_Data_to_Inform_by_Congressional%20District.pdf" TargetMode="External" Id="rId11"/><Relationship Type="http://schemas.openxmlformats.org/officeDocument/2006/relationships/hyperlink" Target="https://crh.arizona.edu/sites/default/files/2026-06/AZ-Rural-Health-Conference-AHCCCS-HR1-FINAL-1.pdf" TargetMode="External" Id="rId12"/><Relationship Type="http://schemas.openxmlformats.org/officeDocument/2006/relationships/hyperlink" Target="https://www2.census.gov/programs-surveys/acs/summary_file/2024/table-based-SF/" TargetMode="External" Id="rId13"/><Relationship Type="http://schemas.openxmlformats.org/officeDocument/2006/relationships/hyperlink" Target="https://www.census.gov/geographies/mapping-files/2023/dec/rdo/2022-state-legislative-bef.html" TargetMode="External" Id="rId14"/><Relationship Type="http://schemas.openxmlformats.org/officeDocument/2006/relationships/hyperlink" Target="https://redistricting-irc-az.hub.arcgis.com/pages/official-maps" TargetMode="External" Id="rId15"/><Relationship Type="http://schemas.openxmlformats.org/officeDocument/2006/relationships/hyperlink" Target="https://www.cdc.gov/nchs/nvss/usaleep/usaleep.html" TargetMode="External" Id="rId16"/><Relationship Type="http://schemas.openxmlformats.org/officeDocument/2006/relationships/hyperlink" Target="https://www.countyhealthrankings.org/" TargetMode="External" Id="rId17"/><Relationship Type="http://schemas.openxmlformats.org/officeDocument/2006/relationships/hyperlink" Target="https://www.cdc.gov/nchs/data/nvsr/nvsr74/nvsr74-12.pdf" TargetMode="External" Id="rId18"/><Relationship Type="http://schemas.openxmlformats.org/officeDocument/2006/relationships/hyperlink" Target="https://www.acpjournals.org/doi/10.7326/m13-2275" TargetMode="External" Id="rId19"/><Relationship Type="http://schemas.openxmlformats.org/officeDocument/2006/relationships/hyperlink" Target="https://www.acpjournals.org/doi/10.7326/ANNALS-25-00716" TargetMode="External" Id="rId20"/><Relationship Type="http://schemas.openxmlformats.org/officeDocument/2006/relationships/hyperlink" Target="https://www.journals.uchicago.edu/doi/10.1162/ajhe_a_00080" TargetMode="External" Id="rId21"/><Relationship Type="http://schemas.openxmlformats.org/officeDocument/2006/relationships/hyperlink" Target="https://www.nber.org/papers/w33719" TargetMode="External" Id="rId22"/></Relationships>
</file>

<file path=xl/worksheets/sheet1.xml><?xml version="1.0" encoding="utf-8"?>
<worksheet xmlns="http://schemas.openxmlformats.org/spreadsheetml/2006/main">
  <sheetPr filterMode="0">
    <outlinePr summaryBelow="1" summaryRight="1"/>
    <pageSetUpPr fitToPage="0"/>
  </sheetPr>
  <dimension ref="A1:A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43" min="1" max="1"/>
  </cols>
  <sheetData>
    <row r="1" ht="17.25" customHeight="1" s="44">
      <c r="A1" s="45" t="inlineStr">
        <is>
          <t>H.R. 1 Medicaid Coverage Loss and Life Expectancy by Arizona Legislative District</t>
        </is>
      </c>
    </row>
    <row r="2" ht="15" customHeight="1" s="44">
      <c r="A2" s="46" t="inlineStr">
        <is>
          <t>Cornerstone Public Affairs — model workbook, September 4, 2026. Prepared for Brian.</t>
        </is>
      </c>
    </row>
    <row r="3" ht="15" customHeight="1" s="44">
      <c r="A3" s="46" t="n"/>
    </row>
    <row r="4" ht="15" customHeight="1" s="44">
      <c r="A4" s="47" t="inlineStr">
        <is>
          <t>WHAT THIS IS</t>
        </is>
      </c>
    </row>
    <row r="5" ht="45.75" customHeight="1" s="44">
      <c r="A5" s="46" t="inlineStr">
        <is>
          <t>Estimates, for each of Arizona's 30 legislative districts (2022 IRC map, used by both chambers), of (1) how many residents are projected to lose AHCCCS (Medicaid) coverage because of H.R. 1 (P.L. 119-21), (2) how many of them become uninsured, (3) the additional deaths per year that the peer-reviewed coverage-mortality literature implies, and (4) the resulting change in period life expectancy at birth, against a baseline built from CDC census-tract life expectancy (USALEEP) calibrated to the latest county figures.</t>
        </is>
      </c>
    </row>
    <row r="6" ht="15" customHeight="1" s="44">
      <c r="A6" s="46" t="n"/>
    </row>
    <row r="7" ht="15" customHeight="1" s="44">
      <c r="A7" s="47" t="inlineStr">
        <is>
          <t>HOW TO READ THE NUMBERS (please read before quoting)</t>
        </is>
      </c>
    </row>
    <row r="8" ht="45.75" customHeight="1" s="44">
      <c r="A8" s="46" t="inlineStr">
        <is>
          <t>• District figures are ALLOCATIONS of statewide projections (RAND for 2034; Urban Institute for the first full year; AHCCCS notice counts for the Oct. 2026 immigrant provision). AHCCCS publishes no enrollment by legislative district or ZIP code (HIPAA), so no district figure is an observed count. The allocation uses ACS 2020-2024 tract data on adults with Medicaid, calibrated to AHCCCS administrative enrollment by congressional district and county.</t>
        </is>
      </c>
    </row>
    <row r="9" ht="23.25" customHeight="1" s="44">
      <c r="A9" s="46" t="inlineStr">
        <is>
          <t>• Two horizons: NEAR TERM = first full year of the Jan. 1, 2027 work requirement and six-month renewals (Urban Institute's 2028 projection) plus the Oct. 1, 2026 immigrant-eligibility change; FULL PHASE-IN = 2034, when the provider-tax and other provisions are fully in force (RAND).</t>
        </is>
      </c>
    </row>
    <row r="10" ht="23.25" customHeight="1" s="44">
      <c r="A10" s="46" t="inlineStr">
        <is>
          <t>• Low / Central / High are a bounding ENVELOPE, not a statistical confidence interval: they combine the low and high ends of both the coverage-loss range and the mortality-effect range.</t>
        </is>
      </c>
    </row>
    <row r="11" ht="23.25" customHeight="1" s="44">
      <c r="A11" s="46" t="inlineStr">
        <is>
          <t>• "Become uninsured" applies CBO's ratio of 7.8 million uninsured per 10.3 million fewer Medicaid enrollees (0.76). KFF's Arizona estimate of 290,000 newly uninsured by 2034 is higher than this model's 248,000, so the mortality results are conservative on this point.</t>
        </is>
      </c>
    </row>
    <row r="12" ht="34.5" customHeight="1" s="44">
      <c r="A12" s="46" t="inlineStr">
        <is>
          <t>• Additional deaths per year are steady-state annual figures once coverage is lost (1.2 / 2.2 / 3.6 deaths per 1,000 uninsured person-years — Sommers et al. 2014; Gaffney et al. 2025 implied rate; Sommers 2017). The literature measures coverage GAINS; symmetric effects for losses are assumed, as every published projection of H.R. 1 does. Effects build over 3-4 years, so year-one deaths will be below steady state.</t>
        </is>
      </c>
    </row>
    <row r="13" ht="34.5" customHeight="1" s="44">
      <c r="A13" s="46" t="inlineStr">
        <is>
          <t>• Life expectancy change is a PERIOD life-table shock: what life expectancy at birth in the district would be if the excess mortality persisted. It is not "years lost by each resident." The baseline is anchored to 2020-2022 county life expectancy (latest available), which embeds pandemic-period mortality, especially in Apache, Navajo and Gila counties (LDs 6 and 7).</t>
        </is>
      </c>
    </row>
    <row r="14" ht="23.25" customHeight="1" s="44">
      <c r="A14" s="46" t="inlineStr">
        <is>
          <t>• Work-requirement losses exclude American Indians (exempt under Sec. 71119), consistent with RAND and Urban; six-month renewal losses do not (no exemption).</t>
        </is>
      </c>
    </row>
    <row r="15" ht="15" customHeight="1" s="44">
      <c r="A15" s="46" t="n"/>
    </row>
    <row r="16" ht="15" customHeight="1" s="44">
      <c r="A16" s="47" t="inlineStr">
        <is>
          <t>SHEETS</t>
        </is>
      </c>
    </row>
    <row r="17" ht="45.75" customHeight="1" s="44">
      <c r="A17" s="46" t="inlineStr">
        <is>
          <t>District Results — the 30-district table (headline).  Assumptions — every statewide anchor and rate, in blue, with sources; change a blue cell and the allocation columns recalculate.  Allocation Keys — the district shares used.  Calibration — ACS vs AHCCCS checks.  Life Expectancy — baseline construction by district.  ZIP Code Life Expectancy — ZCTA-level table with district overlap.  Sources — every source with URL.  Method &amp; Caveats — full methodology and limitations, including the independent audit findings.</t>
        </is>
      </c>
    </row>
    <row r="18" ht="15" customHeight="1" s="44">
      <c r="A18" s="46" t="n"/>
    </row>
    <row r="19" ht="34.5" customHeight="1" s="44">
      <c r="A19" s="46" t="inlineStr">
        <is>
          <t>Color code: blue = hardcoded input/assumption; black = formula; green = link to another sheet. Life-expectancy outputs (e0) are computed by the model's life-table routine (Chiang/NCHS single-year method, Arizona 2022 life table) and are pasted as values; the workbook shows a linear approximation that recalculates with the inputs.</t>
        </is>
      </c>
    </row>
    <row r="20"/>
    <row r="21" ht="15" customHeight="1" s="44">
      <c r="A21" s="48" t="inlineStr">
        <is>
          <t>HOSPITAL ASSESSMENT SECTION (added Sept 4 2026)</t>
        </is>
      </c>
    </row>
    <row r="22" ht="54.75" customHeight="1" s="44">
      <c r="A22" s="49" t="inlineStr">
        <is>
          <t>Assessment Inputs — rate schedule and statewide totals (ties to the CSPA one-pager: $1.80B payments lost, $565M assessment saved, $1.24B net per year at 3.5%; $9.9B net over FFY 2028-2037).  Assessment by Facility — all 134 facilities in AHCCCS's SFY 2025 report with what each paid, received, and stands to lose, plus its legislative district.  Assessment by System — the same rolled up by hospital system (e.g., Banner).  Assessment by District — rolled up by the district where each facility sits.</t>
        </is>
      </c>
    </row>
    <row r="23"/>
    <row r="24" ht="15" customHeight="1" s="44">
      <c r="A24" s="48" t="inlineStr">
        <is>
          <t>HOSPITAL ASSESSMENT SECTION (added Sept 4 2026)</t>
        </is>
      </c>
    </row>
    <row r="25" ht="54.75" customHeight="1" s="44">
      <c r="A25" s="49" t="inlineStr">
        <is>
          <t>Assessment Inputs — rate schedule and statewide totals (ties to the CSPA one-pager: $1.80B payments lost, $565M assessment saved, $1.24B net per year at 3.5%; $9.9B net over FFY 2028-2037).  Assessment by Facility — all 134 facilities in AHCCCS's SFY 2025 report with what each paid, received, and stands to lose, plus its legislative district.  Assessment by System — the same rolled up by hospital system (e.g., Banner).  Assessment by District — rolled up by the district where each facility sits.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Y34"/>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6" customWidth="1" style="43" min="1" max="1"/>
    <col width="11" customWidth="1" style="43" min="2" max="10"/>
    <col width="10" customWidth="1" style="43" min="11" max="12"/>
    <col width="12" customWidth="1" style="43" min="13" max="13"/>
    <col width="11" customWidth="1" style="43" min="14" max="14"/>
    <col width="10" customWidth="1" style="43" min="15" max="18"/>
    <col width="11" customWidth="1" style="43" min="19" max="20"/>
    <col width="9" customWidth="1" style="43" min="21" max="24"/>
    <col width="10" customWidth="1" style="43" min="25" max="25"/>
  </cols>
  <sheetData>
    <row r="1" ht="45" customHeight="1" s="44">
      <c r="A1" s="50" t="inlineStr">
        <is>
          <t>LD</t>
        </is>
      </c>
      <c r="B1" s="50" t="inlineStr">
        <is>
          <t>Main county</t>
        </is>
      </c>
      <c r="C1" s="50" t="inlineStr">
        <is>
          <t>2020 population</t>
        </is>
      </c>
      <c r="D1" s="50" t="inlineStr">
        <is>
          <t>Adults 19-64</t>
        </is>
      </c>
      <c r="E1" s="50" t="inlineStr">
        <is>
          <t>NEAR TERM: lose AHCCCS — Low</t>
        </is>
      </c>
      <c r="F1" s="50" t="inlineStr">
        <is>
          <t>NEAR TERM: lose AHCCCS — Central</t>
        </is>
      </c>
      <c r="G1" s="50" t="inlineStr">
        <is>
          <t>NEAR TERM: lose AHCCCS — High</t>
        </is>
      </c>
      <c r="H1" s="50" t="inlineStr">
        <is>
          <t>FULL PHASE-IN (2034): lose AHCCCS — Low</t>
        </is>
      </c>
      <c r="I1" s="50" t="inlineStr">
        <is>
          <t>FULL PHASE-IN: lose AHCCCS — Central</t>
        </is>
      </c>
      <c r="J1" s="50" t="inlineStr">
        <is>
          <t>FULL PHASE-IN: lose AHCCCS — High</t>
        </is>
      </c>
      <c r="K1" s="50" t="inlineStr">
        <is>
          <t>Full phase-in central as % of adults 19-64</t>
        </is>
      </c>
      <c r="L1" s="50" t="inlineStr">
        <is>
          <t>Full phase-in central per 1,000 residents</t>
        </is>
      </c>
      <c r="M1" s="50" t="inlineStr">
        <is>
          <t>Full phase-in central excluding provider-tax component</t>
        </is>
      </c>
      <c r="N1" s="50" t="inlineStr">
        <is>
          <t>Become uninsured (full, central)</t>
        </is>
      </c>
      <c r="O1" s="50" t="inlineStr">
        <is>
          <t>Additional deaths per year (full) — Low</t>
        </is>
      </c>
      <c r="P1" s="50" t="inlineStr">
        <is>
          <t>Additional deaths per year (full) — Central</t>
        </is>
      </c>
      <c r="Q1" s="50" t="inlineStr">
        <is>
          <t>Additional deaths per year (full) — High</t>
        </is>
      </c>
      <c r="R1" s="50" t="inlineStr">
        <is>
          <t>Additional deaths per year (near term, central)</t>
        </is>
      </c>
      <c r="S1" s="50" t="inlineStr">
        <is>
          <t>Baseline life expectancy at birth (2020-22 calibrated)</t>
        </is>
      </c>
      <c r="T1" s="50" t="inlineStr">
        <is>
          <t>Life expectancy with H.R. 1 (full, central)</t>
        </is>
      </c>
      <c r="U1" s="50" t="inlineStr">
        <is>
          <t>Change (years) — Low</t>
        </is>
      </c>
      <c r="V1" s="50" t="inlineStr">
        <is>
          <t>Change (years) — Central</t>
        </is>
      </c>
      <c r="W1" s="50" t="inlineStr">
        <is>
          <t>Change (years) — High</t>
        </is>
      </c>
      <c r="X1" s="50" t="inlineStr">
        <is>
          <t>Change (months) — Central</t>
        </is>
      </c>
      <c r="Y1" s="50" t="inlineStr">
        <is>
          <t>Change (years) — near term, central</t>
        </is>
      </c>
    </row>
    <row r="2" ht="15" customHeight="1" s="44">
      <c r="A2" s="48" t="n">
        <v>1</v>
      </c>
      <c r="B2" s="51" t="inlineStr">
        <is>
          <t>Yavapai</t>
        </is>
      </c>
      <c r="C2" s="52">
        <f>'Allocation Keys'!C2</f>
        <v/>
      </c>
      <c r="D2" s="52">
        <f>'Allocation Keys'!D2</f>
        <v/>
      </c>
      <c r="E2" s="53">
        <f>Assumptions!B2*'Allocation Keys'!F2+Assumptions!B3*'Allocation Keys'!G2+Assumptions!B4*'Allocation Keys'!K2</f>
        <v/>
      </c>
      <c r="F2" s="53">
        <f>Assumptions!C2*'Allocation Keys'!F2+Assumptions!C3*'Allocation Keys'!G2+Assumptions!C4*'Allocation Keys'!K2</f>
        <v/>
      </c>
      <c r="G2" s="53">
        <f>Assumptions!D2*'Allocation Keys'!F2+Assumptions!D3*'Allocation Keys'!G2+Assumptions!D4*'Allocation Keys'!K2</f>
        <v/>
      </c>
      <c r="H2" s="53">
        <f>Assumptions!B5*(Assumptions!B6*'Allocation Keys'!G2+Assumptions!B7*'Allocation Keys'!F2+Assumptions!B8*'Allocation Keys'!K2+Assumptions!B9*'Allocation Keys'!I2)</f>
        <v/>
      </c>
      <c r="I2" s="53">
        <f>Assumptions!C5*(Assumptions!C6*'Allocation Keys'!G2+Assumptions!C7*'Allocation Keys'!F2+Assumptions!C8*'Allocation Keys'!K2+Assumptions!C9*'Allocation Keys'!I2)</f>
        <v/>
      </c>
      <c r="J2" s="53">
        <f>Assumptions!D5*(Assumptions!D6*'Allocation Keys'!G2+Assumptions!D7*'Allocation Keys'!F2+Assumptions!D8*'Allocation Keys'!K2+Assumptions!D9*'Allocation Keys'!I2)</f>
        <v/>
      </c>
      <c r="K2" s="54">
        <f>I2/D2</f>
        <v/>
      </c>
      <c r="L2" s="55">
        <f>I2/C2*1000</f>
        <v/>
      </c>
      <c r="M2" s="53">
        <f>I2-Assumptions!C5*Assumptions!C9*'Allocation Keys'!I2</f>
        <v/>
      </c>
      <c r="N2" s="53">
        <f>I2*Assumptions!C10</f>
        <v/>
      </c>
      <c r="O2" s="55">
        <f>H2*Assumptions!B10*Assumptions!B11/1000*'Allocation Keys'!Q2</f>
        <v/>
      </c>
      <c r="P2" s="55">
        <f>I2*Assumptions!C10*Assumptions!C11/1000*'Allocation Keys'!R2</f>
        <v/>
      </c>
      <c r="Q2" s="55">
        <f>J2*Assumptions!D10*Assumptions!D11/1000*'Allocation Keys'!S2</f>
        <v/>
      </c>
      <c r="R2" s="55">
        <f>F2*Assumptions!C10*Assumptions!C11/1000*'Allocation Keys'!R2</f>
        <v/>
      </c>
      <c r="S2" s="56">
        <f>'Life Expectancy'!F2</f>
        <v/>
      </c>
      <c r="T2" s="55">
        <f>S2+V2</f>
        <v/>
      </c>
      <c r="U2" s="57">
        <f>O2*-0.0083668</f>
        <v/>
      </c>
      <c r="V2" s="57">
        <f>P2*-0.00835543</f>
        <v/>
      </c>
      <c r="W2" s="57">
        <f>Q2*-0.00833549</f>
        <v/>
      </c>
      <c r="X2" s="55">
        <f>V2*12</f>
        <v/>
      </c>
      <c r="Y2" s="57">
        <f>R2*-0.00836229</f>
        <v/>
      </c>
    </row>
    <row r="3" ht="15" customHeight="1" s="44">
      <c r="A3" s="48" t="n">
        <v>2</v>
      </c>
      <c r="B3" s="51" t="inlineStr">
        <is>
          <t>Maricopa</t>
        </is>
      </c>
      <c r="C3" s="52">
        <f>'Allocation Keys'!C3</f>
        <v/>
      </c>
      <c r="D3" s="52">
        <f>'Allocation Keys'!D3</f>
        <v/>
      </c>
      <c r="E3" s="53">
        <f>Assumptions!B2*'Allocation Keys'!F3+Assumptions!B3*'Allocation Keys'!G3+Assumptions!B4*'Allocation Keys'!K3</f>
        <v/>
      </c>
      <c r="F3" s="53">
        <f>Assumptions!C2*'Allocation Keys'!F3+Assumptions!C3*'Allocation Keys'!G3+Assumptions!C4*'Allocation Keys'!K3</f>
        <v/>
      </c>
      <c r="G3" s="53">
        <f>Assumptions!D2*'Allocation Keys'!F3+Assumptions!D3*'Allocation Keys'!G3+Assumptions!D4*'Allocation Keys'!K3</f>
        <v/>
      </c>
      <c r="H3" s="53">
        <f>Assumptions!B5*(Assumptions!B6*'Allocation Keys'!G3+Assumptions!B7*'Allocation Keys'!F3+Assumptions!B8*'Allocation Keys'!K3+Assumptions!B9*'Allocation Keys'!I3)</f>
        <v/>
      </c>
      <c r="I3" s="53">
        <f>Assumptions!C5*(Assumptions!C6*'Allocation Keys'!G3+Assumptions!C7*'Allocation Keys'!F3+Assumptions!C8*'Allocation Keys'!K3+Assumptions!C9*'Allocation Keys'!I3)</f>
        <v/>
      </c>
      <c r="J3" s="53">
        <f>Assumptions!D5*(Assumptions!D6*'Allocation Keys'!G3+Assumptions!D7*'Allocation Keys'!F3+Assumptions!D8*'Allocation Keys'!K3+Assumptions!D9*'Allocation Keys'!I3)</f>
        <v/>
      </c>
      <c r="K3" s="54">
        <f>I3/D3</f>
        <v/>
      </c>
      <c r="L3" s="55">
        <f>I3/C3*1000</f>
        <v/>
      </c>
      <c r="M3" s="53">
        <f>I3-Assumptions!C5*Assumptions!C9*'Allocation Keys'!I3</f>
        <v/>
      </c>
      <c r="N3" s="53">
        <f>I3*Assumptions!C10</f>
        <v/>
      </c>
      <c r="O3" s="55">
        <f>H3*Assumptions!B10*Assumptions!B11/1000*'Allocation Keys'!Q3</f>
        <v/>
      </c>
      <c r="P3" s="55">
        <f>I3*Assumptions!C10*Assumptions!C11/1000*'Allocation Keys'!R3</f>
        <v/>
      </c>
      <c r="Q3" s="55">
        <f>J3*Assumptions!D10*Assumptions!D11/1000*'Allocation Keys'!S3</f>
        <v/>
      </c>
      <c r="R3" s="55">
        <f>F3*Assumptions!C10*Assumptions!C11/1000*'Allocation Keys'!R3</f>
        <v/>
      </c>
      <c r="S3" s="56">
        <f>'Life Expectancy'!F3</f>
        <v/>
      </c>
      <c r="T3" s="55">
        <f>S3+V3</f>
        <v/>
      </c>
      <c r="U3" s="57">
        <f>O3*-0.00832313</f>
        <v/>
      </c>
      <c r="V3" s="57">
        <f>P3*-0.00831163</f>
        <v/>
      </c>
      <c r="W3" s="57">
        <f>Q3*-0.00829145</f>
        <v/>
      </c>
      <c r="X3" s="55">
        <f>V3*12</f>
        <v/>
      </c>
      <c r="Y3" s="57">
        <f>R3*-0.00831722</f>
        <v/>
      </c>
    </row>
    <row r="4" ht="15" customHeight="1" s="44">
      <c r="A4" s="48" t="n">
        <v>3</v>
      </c>
      <c r="B4" s="51" t="inlineStr">
        <is>
          <t>Maricopa</t>
        </is>
      </c>
      <c r="C4" s="52">
        <f>'Allocation Keys'!C4</f>
        <v/>
      </c>
      <c r="D4" s="52">
        <f>'Allocation Keys'!D4</f>
        <v/>
      </c>
      <c r="E4" s="53">
        <f>Assumptions!B2*'Allocation Keys'!F4+Assumptions!B3*'Allocation Keys'!G4+Assumptions!B4*'Allocation Keys'!K4</f>
        <v/>
      </c>
      <c r="F4" s="53">
        <f>Assumptions!C2*'Allocation Keys'!F4+Assumptions!C3*'Allocation Keys'!G4+Assumptions!C4*'Allocation Keys'!K4</f>
        <v/>
      </c>
      <c r="G4" s="53">
        <f>Assumptions!D2*'Allocation Keys'!F4+Assumptions!D3*'Allocation Keys'!G4+Assumptions!D4*'Allocation Keys'!K4</f>
        <v/>
      </c>
      <c r="H4" s="53">
        <f>Assumptions!B5*(Assumptions!B6*'Allocation Keys'!G4+Assumptions!B7*'Allocation Keys'!F4+Assumptions!B8*'Allocation Keys'!K4+Assumptions!B9*'Allocation Keys'!I4)</f>
        <v/>
      </c>
      <c r="I4" s="53">
        <f>Assumptions!C5*(Assumptions!C6*'Allocation Keys'!G4+Assumptions!C7*'Allocation Keys'!F4+Assumptions!C8*'Allocation Keys'!K4+Assumptions!C9*'Allocation Keys'!I4)</f>
        <v/>
      </c>
      <c r="J4" s="53">
        <f>Assumptions!D5*(Assumptions!D6*'Allocation Keys'!G4+Assumptions!D7*'Allocation Keys'!F4+Assumptions!D8*'Allocation Keys'!K4+Assumptions!D9*'Allocation Keys'!I4)</f>
        <v/>
      </c>
      <c r="K4" s="54">
        <f>I4/D4</f>
        <v/>
      </c>
      <c r="L4" s="55">
        <f>I4/C4*1000</f>
        <v/>
      </c>
      <c r="M4" s="53">
        <f>I4-Assumptions!C5*Assumptions!C9*'Allocation Keys'!I4</f>
        <v/>
      </c>
      <c r="N4" s="53">
        <f>I4*Assumptions!C10</f>
        <v/>
      </c>
      <c r="O4" s="55">
        <f>H4*Assumptions!B10*Assumptions!B11/1000*'Allocation Keys'!Q4</f>
        <v/>
      </c>
      <c r="P4" s="55">
        <f>I4*Assumptions!C10*Assumptions!C11/1000*'Allocation Keys'!R4</f>
        <v/>
      </c>
      <c r="Q4" s="55">
        <f>J4*Assumptions!D10*Assumptions!D11/1000*'Allocation Keys'!S4</f>
        <v/>
      </c>
      <c r="R4" s="55">
        <f>F4*Assumptions!C10*Assumptions!C11/1000*'Allocation Keys'!R4</f>
        <v/>
      </c>
      <c r="S4" s="56">
        <f>'Life Expectancy'!F4</f>
        <v/>
      </c>
      <c r="T4" s="55">
        <f>S4+V4</f>
        <v/>
      </c>
      <c r="U4" s="57">
        <f>O4*-0.00981177</f>
        <v/>
      </c>
      <c r="V4" s="57">
        <f>P4*-0.00980735</f>
        <v/>
      </c>
      <c r="W4" s="57">
        <f>Q4*-0.00979957</f>
        <v/>
      </c>
      <c r="X4" s="55">
        <f>V4*12</f>
        <v/>
      </c>
      <c r="Y4" s="57">
        <f>R4*-0.00980886</f>
        <v/>
      </c>
    </row>
    <row r="5" ht="15" customHeight="1" s="44">
      <c r="A5" s="48" t="n">
        <v>4</v>
      </c>
      <c r="B5" s="51" t="inlineStr">
        <is>
          <t>Maricopa</t>
        </is>
      </c>
      <c r="C5" s="52">
        <f>'Allocation Keys'!C5</f>
        <v/>
      </c>
      <c r="D5" s="52">
        <f>'Allocation Keys'!D5</f>
        <v/>
      </c>
      <c r="E5" s="53">
        <f>Assumptions!B2*'Allocation Keys'!F5+Assumptions!B3*'Allocation Keys'!G5+Assumptions!B4*'Allocation Keys'!K5</f>
        <v/>
      </c>
      <c r="F5" s="53">
        <f>Assumptions!C2*'Allocation Keys'!F5+Assumptions!C3*'Allocation Keys'!G5+Assumptions!C4*'Allocation Keys'!K5</f>
        <v/>
      </c>
      <c r="G5" s="53">
        <f>Assumptions!D2*'Allocation Keys'!F5+Assumptions!D3*'Allocation Keys'!G5+Assumptions!D4*'Allocation Keys'!K5</f>
        <v/>
      </c>
      <c r="H5" s="53">
        <f>Assumptions!B5*(Assumptions!B6*'Allocation Keys'!G5+Assumptions!B7*'Allocation Keys'!F5+Assumptions!B8*'Allocation Keys'!K5+Assumptions!B9*'Allocation Keys'!I5)</f>
        <v/>
      </c>
      <c r="I5" s="53">
        <f>Assumptions!C5*(Assumptions!C6*'Allocation Keys'!G5+Assumptions!C7*'Allocation Keys'!F5+Assumptions!C8*'Allocation Keys'!K5+Assumptions!C9*'Allocation Keys'!I5)</f>
        <v/>
      </c>
      <c r="J5" s="53">
        <f>Assumptions!D5*(Assumptions!D6*'Allocation Keys'!G5+Assumptions!D7*'Allocation Keys'!F5+Assumptions!D8*'Allocation Keys'!K5+Assumptions!D9*'Allocation Keys'!I5)</f>
        <v/>
      </c>
      <c r="K5" s="54">
        <f>I5/D5</f>
        <v/>
      </c>
      <c r="L5" s="55">
        <f>I5/C5*1000</f>
        <v/>
      </c>
      <c r="M5" s="53">
        <f>I5-Assumptions!C5*Assumptions!C9*'Allocation Keys'!I5</f>
        <v/>
      </c>
      <c r="N5" s="53">
        <f>I5*Assumptions!C10</f>
        <v/>
      </c>
      <c r="O5" s="55">
        <f>H5*Assumptions!B10*Assumptions!B11/1000*'Allocation Keys'!Q5</f>
        <v/>
      </c>
      <c r="P5" s="55">
        <f>I5*Assumptions!C10*Assumptions!C11/1000*'Allocation Keys'!R5</f>
        <v/>
      </c>
      <c r="Q5" s="55">
        <f>J5*Assumptions!D10*Assumptions!D11/1000*'Allocation Keys'!S5</f>
        <v/>
      </c>
      <c r="R5" s="55">
        <f>F5*Assumptions!C10*Assumptions!C11/1000*'Allocation Keys'!R5</f>
        <v/>
      </c>
      <c r="S5" s="56">
        <f>'Life Expectancy'!F5</f>
        <v/>
      </c>
      <c r="T5" s="55">
        <f>S5+V5</f>
        <v/>
      </c>
      <c r="U5" s="57">
        <f>O5*-0.00868436</f>
        <v/>
      </c>
      <c r="V5" s="57">
        <f>P5*-0.00867769</f>
        <v/>
      </c>
      <c r="W5" s="57">
        <f>Q5*-0.00866598</f>
        <v/>
      </c>
      <c r="X5" s="55">
        <f>V5*12</f>
        <v/>
      </c>
      <c r="Y5" s="57">
        <f>R5*-0.00868075</f>
        <v/>
      </c>
    </row>
    <row r="6" ht="15" customHeight="1" s="44">
      <c r="A6" s="48" t="n">
        <v>5</v>
      </c>
      <c r="B6" s="51" t="inlineStr">
        <is>
          <t>Maricopa</t>
        </is>
      </c>
      <c r="C6" s="52">
        <f>'Allocation Keys'!C6</f>
        <v/>
      </c>
      <c r="D6" s="52">
        <f>'Allocation Keys'!D6</f>
        <v/>
      </c>
      <c r="E6" s="53">
        <f>Assumptions!B2*'Allocation Keys'!F6+Assumptions!B3*'Allocation Keys'!G6+Assumptions!B4*'Allocation Keys'!K6</f>
        <v/>
      </c>
      <c r="F6" s="53">
        <f>Assumptions!C2*'Allocation Keys'!F6+Assumptions!C3*'Allocation Keys'!G6+Assumptions!C4*'Allocation Keys'!K6</f>
        <v/>
      </c>
      <c r="G6" s="53">
        <f>Assumptions!D2*'Allocation Keys'!F6+Assumptions!D3*'Allocation Keys'!G6+Assumptions!D4*'Allocation Keys'!K6</f>
        <v/>
      </c>
      <c r="H6" s="53">
        <f>Assumptions!B5*(Assumptions!B6*'Allocation Keys'!G6+Assumptions!B7*'Allocation Keys'!F6+Assumptions!B8*'Allocation Keys'!K6+Assumptions!B9*'Allocation Keys'!I6)</f>
        <v/>
      </c>
      <c r="I6" s="53">
        <f>Assumptions!C5*(Assumptions!C6*'Allocation Keys'!G6+Assumptions!C7*'Allocation Keys'!F6+Assumptions!C8*'Allocation Keys'!K6+Assumptions!C9*'Allocation Keys'!I6)</f>
        <v/>
      </c>
      <c r="J6" s="53">
        <f>Assumptions!D5*(Assumptions!D6*'Allocation Keys'!G6+Assumptions!D7*'Allocation Keys'!F6+Assumptions!D8*'Allocation Keys'!K6+Assumptions!D9*'Allocation Keys'!I6)</f>
        <v/>
      </c>
      <c r="K6" s="54">
        <f>I6/D6</f>
        <v/>
      </c>
      <c r="L6" s="55">
        <f>I6/C6*1000</f>
        <v/>
      </c>
      <c r="M6" s="53">
        <f>I6-Assumptions!C5*Assumptions!C9*'Allocation Keys'!I6</f>
        <v/>
      </c>
      <c r="N6" s="53">
        <f>I6*Assumptions!C10</f>
        <v/>
      </c>
      <c r="O6" s="55">
        <f>H6*Assumptions!B10*Assumptions!B11/1000*'Allocation Keys'!Q6</f>
        <v/>
      </c>
      <c r="P6" s="55">
        <f>I6*Assumptions!C10*Assumptions!C11/1000*'Allocation Keys'!R6</f>
        <v/>
      </c>
      <c r="Q6" s="55">
        <f>J6*Assumptions!D10*Assumptions!D11/1000*'Allocation Keys'!S6</f>
        <v/>
      </c>
      <c r="R6" s="55">
        <f>F6*Assumptions!C10*Assumptions!C11/1000*'Allocation Keys'!R6</f>
        <v/>
      </c>
      <c r="S6" s="56">
        <f>'Life Expectancy'!F6</f>
        <v/>
      </c>
      <c r="T6" s="55">
        <f>S6+V6</f>
        <v/>
      </c>
      <c r="U6" s="57">
        <f>O6*-0.00828799</f>
        <v/>
      </c>
      <c r="V6" s="57">
        <f>P6*-0.0082744</f>
        <v/>
      </c>
      <c r="W6" s="57">
        <f>Q6*-0.00825055</f>
        <v/>
      </c>
      <c r="X6" s="55">
        <f>V6*12</f>
        <v/>
      </c>
      <c r="Y6" s="57">
        <f>R6*-0.00828218</f>
        <v/>
      </c>
    </row>
    <row r="7" ht="15" customHeight="1" s="44">
      <c r="A7" s="48" t="n">
        <v>6</v>
      </c>
      <c r="B7" s="51" t="inlineStr">
        <is>
          <t>Coconino</t>
        </is>
      </c>
      <c r="C7" s="52">
        <f>'Allocation Keys'!C7</f>
        <v/>
      </c>
      <c r="D7" s="52">
        <f>'Allocation Keys'!D7</f>
        <v/>
      </c>
      <c r="E7" s="53">
        <f>Assumptions!B2*'Allocation Keys'!F7+Assumptions!B3*'Allocation Keys'!G7+Assumptions!B4*'Allocation Keys'!K7</f>
        <v/>
      </c>
      <c r="F7" s="53">
        <f>Assumptions!C2*'Allocation Keys'!F7+Assumptions!C3*'Allocation Keys'!G7+Assumptions!C4*'Allocation Keys'!K7</f>
        <v/>
      </c>
      <c r="G7" s="53">
        <f>Assumptions!D2*'Allocation Keys'!F7+Assumptions!D3*'Allocation Keys'!G7+Assumptions!D4*'Allocation Keys'!K7</f>
        <v/>
      </c>
      <c r="H7" s="53">
        <f>Assumptions!B5*(Assumptions!B6*'Allocation Keys'!G7+Assumptions!B7*'Allocation Keys'!F7+Assumptions!B8*'Allocation Keys'!K7+Assumptions!B9*'Allocation Keys'!I7)</f>
        <v/>
      </c>
      <c r="I7" s="53">
        <f>Assumptions!C5*(Assumptions!C6*'Allocation Keys'!G7+Assumptions!C7*'Allocation Keys'!F7+Assumptions!C8*'Allocation Keys'!K7+Assumptions!C9*'Allocation Keys'!I7)</f>
        <v/>
      </c>
      <c r="J7" s="53">
        <f>Assumptions!D5*(Assumptions!D6*'Allocation Keys'!G7+Assumptions!D7*'Allocation Keys'!F7+Assumptions!D8*'Allocation Keys'!K7+Assumptions!D9*'Allocation Keys'!I7)</f>
        <v/>
      </c>
      <c r="K7" s="54">
        <f>I7/D7</f>
        <v/>
      </c>
      <c r="L7" s="55">
        <f>I7/C7*1000</f>
        <v/>
      </c>
      <c r="M7" s="53">
        <f>I7-Assumptions!C5*Assumptions!C9*'Allocation Keys'!I7</f>
        <v/>
      </c>
      <c r="N7" s="53">
        <f>I7*Assumptions!C10</f>
        <v/>
      </c>
      <c r="O7" s="55">
        <f>H7*Assumptions!B10*Assumptions!B11/1000*'Allocation Keys'!Q7</f>
        <v/>
      </c>
      <c r="P7" s="55">
        <f>I7*Assumptions!C10*Assumptions!C11/1000*'Allocation Keys'!R7</f>
        <v/>
      </c>
      <c r="Q7" s="55">
        <f>J7*Assumptions!D10*Assumptions!D11/1000*'Allocation Keys'!S7</f>
        <v/>
      </c>
      <c r="R7" s="55">
        <f>F7*Assumptions!C10*Assumptions!C11/1000*'Allocation Keys'!R7</f>
        <v/>
      </c>
      <c r="S7" s="56">
        <f>'Life Expectancy'!F7</f>
        <v/>
      </c>
      <c r="T7" s="55">
        <f>S7+V7</f>
        <v/>
      </c>
      <c r="U7" s="57">
        <f>O7*-0.00788047</f>
        <v/>
      </c>
      <c r="V7" s="57">
        <f>P7*-0.00786818</f>
        <v/>
      </c>
      <c r="W7" s="57">
        <f>Q7*-0.00784661</f>
        <v/>
      </c>
      <c r="X7" s="55">
        <f>V7*12</f>
        <v/>
      </c>
      <c r="Y7" s="57">
        <f>R7*-0.00787468</f>
        <v/>
      </c>
    </row>
    <row r="8" ht="15" customHeight="1" s="44">
      <c r="A8" s="48" t="n">
        <v>7</v>
      </c>
      <c r="B8" s="51" t="inlineStr">
        <is>
          <t>Pinal</t>
        </is>
      </c>
      <c r="C8" s="52">
        <f>'Allocation Keys'!C8</f>
        <v/>
      </c>
      <c r="D8" s="52">
        <f>'Allocation Keys'!D8</f>
        <v/>
      </c>
      <c r="E8" s="53">
        <f>Assumptions!B2*'Allocation Keys'!F8+Assumptions!B3*'Allocation Keys'!G8+Assumptions!B4*'Allocation Keys'!K8</f>
        <v/>
      </c>
      <c r="F8" s="53">
        <f>Assumptions!C2*'Allocation Keys'!F8+Assumptions!C3*'Allocation Keys'!G8+Assumptions!C4*'Allocation Keys'!K8</f>
        <v/>
      </c>
      <c r="G8" s="53">
        <f>Assumptions!D2*'Allocation Keys'!F8+Assumptions!D3*'Allocation Keys'!G8+Assumptions!D4*'Allocation Keys'!K8</f>
        <v/>
      </c>
      <c r="H8" s="53">
        <f>Assumptions!B5*(Assumptions!B6*'Allocation Keys'!G8+Assumptions!B7*'Allocation Keys'!F8+Assumptions!B8*'Allocation Keys'!K8+Assumptions!B9*'Allocation Keys'!I8)</f>
        <v/>
      </c>
      <c r="I8" s="53">
        <f>Assumptions!C5*(Assumptions!C6*'Allocation Keys'!G8+Assumptions!C7*'Allocation Keys'!F8+Assumptions!C8*'Allocation Keys'!K8+Assumptions!C9*'Allocation Keys'!I8)</f>
        <v/>
      </c>
      <c r="J8" s="53">
        <f>Assumptions!D5*(Assumptions!D6*'Allocation Keys'!G8+Assumptions!D7*'Allocation Keys'!F8+Assumptions!D8*'Allocation Keys'!K8+Assumptions!D9*'Allocation Keys'!I8)</f>
        <v/>
      </c>
      <c r="K8" s="54">
        <f>I8/D8</f>
        <v/>
      </c>
      <c r="L8" s="55">
        <f>I8/C8*1000</f>
        <v/>
      </c>
      <c r="M8" s="53">
        <f>I8-Assumptions!C5*Assumptions!C9*'Allocation Keys'!I8</f>
        <v/>
      </c>
      <c r="N8" s="53">
        <f>I8*Assumptions!C10</f>
        <v/>
      </c>
      <c r="O8" s="55">
        <f>H8*Assumptions!B10*Assumptions!B11/1000*'Allocation Keys'!Q8</f>
        <v/>
      </c>
      <c r="P8" s="55">
        <f>I8*Assumptions!C10*Assumptions!C11/1000*'Allocation Keys'!R8</f>
        <v/>
      </c>
      <c r="Q8" s="55">
        <f>J8*Assumptions!D10*Assumptions!D11/1000*'Allocation Keys'!S8</f>
        <v/>
      </c>
      <c r="R8" s="55">
        <f>F8*Assumptions!C10*Assumptions!C11/1000*'Allocation Keys'!R8</f>
        <v/>
      </c>
      <c r="S8" s="56">
        <f>'Life Expectancy'!F8</f>
        <v/>
      </c>
      <c r="T8" s="55">
        <f>S8+V8</f>
        <v/>
      </c>
      <c r="U8" s="57">
        <f>O8*-0.0087481</f>
        <v/>
      </c>
      <c r="V8" s="57">
        <f>P8*-0.00873584</f>
        <v/>
      </c>
      <c r="W8" s="57">
        <f>Q8*-0.00871431</f>
        <v/>
      </c>
      <c r="X8" s="55">
        <f>V8*12</f>
        <v/>
      </c>
      <c r="Y8" s="57">
        <f>R8*-0.00874291</f>
        <v/>
      </c>
    </row>
    <row r="9" ht="15" customHeight="1" s="44">
      <c r="A9" s="48" t="n">
        <v>8</v>
      </c>
      <c r="B9" s="51" t="inlineStr">
        <is>
          <t>Maricopa</t>
        </is>
      </c>
      <c r="C9" s="52">
        <f>'Allocation Keys'!C9</f>
        <v/>
      </c>
      <c r="D9" s="52">
        <f>'Allocation Keys'!D9</f>
        <v/>
      </c>
      <c r="E9" s="53">
        <f>Assumptions!B2*'Allocation Keys'!F9+Assumptions!B3*'Allocation Keys'!G9+Assumptions!B4*'Allocation Keys'!K9</f>
        <v/>
      </c>
      <c r="F9" s="53">
        <f>Assumptions!C2*'Allocation Keys'!F9+Assumptions!C3*'Allocation Keys'!G9+Assumptions!C4*'Allocation Keys'!K9</f>
        <v/>
      </c>
      <c r="G9" s="53">
        <f>Assumptions!D2*'Allocation Keys'!F9+Assumptions!D3*'Allocation Keys'!G9+Assumptions!D4*'Allocation Keys'!K9</f>
        <v/>
      </c>
      <c r="H9" s="53">
        <f>Assumptions!B5*(Assumptions!B6*'Allocation Keys'!G9+Assumptions!B7*'Allocation Keys'!F9+Assumptions!B8*'Allocation Keys'!K9+Assumptions!B9*'Allocation Keys'!I9)</f>
        <v/>
      </c>
      <c r="I9" s="53">
        <f>Assumptions!C5*(Assumptions!C6*'Allocation Keys'!G9+Assumptions!C7*'Allocation Keys'!F9+Assumptions!C8*'Allocation Keys'!K9+Assumptions!C9*'Allocation Keys'!I9)</f>
        <v/>
      </c>
      <c r="J9" s="53">
        <f>Assumptions!D5*(Assumptions!D6*'Allocation Keys'!G9+Assumptions!D7*'Allocation Keys'!F9+Assumptions!D8*'Allocation Keys'!K9+Assumptions!D9*'Allocation Keys'!I9)</f>
        <v/>
      </c>
      <c r="K9" s="54">
        <f>I9/D9</f>
        <v/>
      </c>
      <c r="L9" s="55">
        <f>I9/C9*1000</f>
        <v/>
      </c>
      <c r="M9" s="53">
        <f>I9-Assumptions!C5*Assumptions!C9*'Allocation Keys'!I9</f>
        <v/>
      </c>
      <c r="N9" s="53">
        <f>I9*Assumptions!C10</f>
        <v/>
      </c>
      <c r="O9" s="55">
        <f>H9*Assumptions!B10*Assumptions!B11/1000*'Allocation Keys'!Q9</f>
        <v/>
      </c>
      <c r="P9" s="55">
        <f>I9*Assumptions!C10*Assumptions!C11/1000*'Allocation Keys'!R9</f>
        <v/>
      </c>
      <c r="Q9" s="55">
        <f>J9*Assumptions!D10*Assumptions!D11/1000*'Allocation Keys'!S9</f>
        <v/>
      </c>
      <c r="R9" s="55">
        <f>F9*Assumptions!C10*Assumptions!C11/1000*'Allocation Keys'!R9</f>
        <v/>
      </c>
      <c r="S9" s="56">
        <f>'Life Expectancy'!F9</f>
        <v/>
      </c>
      <c r="T9" s="55">
        <f>S9+V9</f>
        <v/>
      </c>
      <c r="U9" s="57">
        <f>O9*-0.00962387</f>
        <v/>
      </c>
      <c r="V9" s="57">
        <f>P9*-0.00961015</f>
        <v/>
      </c>
      <c r="W9" s="57">
        <f>Q9*-0.00958607</f>
        <v/>
      </c>
      <c r="X9" s="55">
        <f>V9*12</f>
        <v/>
      </c>
      <c r="Y9" s="57">
        <f>R9*-0.00961716</f>
        <v/>
      </c>
    </row>
    <row r="10" ht="15" customHeight="1" s="44">
      <c r="A10" s="48" t="n">
        <v>9</v>
      </c>
      <c r="B10" s="51" t="inlineStr">
        <is>
          <t>Maricopa</t>
        </is>
      </c>
      <c r="C10" s="52">
        <f>'Allocation Keys'!C10</f>
        <v/>
      </c>
      <c r="D10" s="52">
        <f>'Allocation Keys'!D10</f>
        <v/>
      </c>
      <c r="E10" s="53">
        <f>Assumptions!B2*'Allocation Keys'!F10+Assumptions!B3*'Allocation Keys'!G10+Assumptions!B4*'Allocation Keys'!K10</f>
        <v/>
      </c>
      <c r="F10" s="53">
        <f>Assumptions!C2*'Allocation Keys'!F10+Assumptions!C3*'Allocation Keys'!G10+Assumptions!C4*'Allocation Keys'!K10</f>
        <v/>
      </c>
      <c r="G10" s="53">
        <f>Assumptions!D2*'Allocation Keys'!F10+Assumptions!D3*'Allocation Keys'!G10+Assumptions!D4*'Allocation Keys'!K10</f>
        <v/>
      </c>
      <c r="H10" s="53">
        <f>Assumptions!B5*(Assumptions!B6*'Allocation Keys'!G10+Assumptions!B7*'Allocation Keys'!F10+Assumptions!B8*'Allocation Keys'!K10+Assumptions!B9*'Allocation Keys'!I10)</f>
        <v/>
      </c>
      <c r="I10" s="53">
        <f>Assumptions!C5*(Assumptions!C6*'Allocation Keys'!G10+Assumptions!C7*'Allocation Keys'!F10+Assumptions!C8*'Allocation Keys'!K10+Assumptions!C9*'Allocation Keys'!I10)</f>
        <v/>
      </c>
      <c r="J10" s="53">
        <f>Assumptions!D5*(Assumptions!D6*'Allocation Keys'!G10+Assumptions!D7*'Allocation Keys'!F10+Assumptions!D8*'Allocation Keys'!K10+Assumptions!D9*'Allocation Keys'!I10)</f>
        <v/>
      </c>
      <c r="K10" s="54">
        <f>I10/D10</f>
        <v/>
      </c>
      <c r="L10" s="55">
        <f>I10/C10*1000</f>
        <v/>
      </c>
      <c r="M10" s="53">
        <f>I10-Assumptions!C5*Assumptions!C9*'Allocation Keys'!I10</f>
        <v/>
      </c>
      <c r="N10" s="53">
        <f>I10*Assumptions!C10</f>
        <v/>
      </c>
      <c r="O10" s="55">
        <f>H10*Assumptions!B10*Assumptions!B11/1000*'Allocation Keys'!Q10</f>
        <v/>
      </c>
      <c r="P10" s="55">
        <f>I10*Assumptions!C10*Assumptions!C11/1000*'Allocation Keys'!R10</f>
        <v/>
      </c>
      <c r="Q10" s="55">
        <f>J10*Assumptions!D10*Assumptions!D11/1000*'Allocation Keys'!S10</f>
        <v/>
      </c>
      <c r="R10" s="55">
        <f>F10*Assumptions!C10*Assumptions!C11/1000*'Allocation Keys'!R10</f>
        <v/>
      </c>
      <c r="S10" s="56">
        <f>'Life Expectancy'!F10</f>
        <v/>
      </c>
      <c r="T10" s="55">
        <f>S10+V10</f>
        <v/>
      </c>
      <c r="U10" s="57">
        <f>O10*-0.00959596</f>
        <v/>
      </c>
      <c r="V10" s="57">
        <f>P10*-0.00957996</f>
        <v/>
      </c>
      <c r="W10" s="57">
        <f>Q10*-0.00955188</f>
        <v/>
      </c>
      <c r="X10" s="55">
        <f>V10*12</f>
        <v/>
      </c>
      <c r="Y10" s="57">
        <f>R10*-0.0095895</f>
        <v/>
      </c>
    </row>
    <row r="11" ht="15" customHeight="1" s="44">
      <c r="A11" s="48" t="n">
        <v>10</v>
      </c>
      <c r="B11" s="51" t="inlineStr">
        <is>
          <t>Maricopa</t>
        </is>
      </c>
      <c r="C11" s="52">
        <f>'Allocation Keys'!C11</f>
        <v/>
      </c>
      <c r="D11" s="52">
        <f>'Allocation Keys'!D11</f>
        <v/>
      </c>
      <c r="E11" s="53">
        <f>Assumptions!B2*'Allocation Keys'!F11+Assumptions!B3*'Allocation Keys'!G11+Assumptions!B4*'Allocation Keys'!K11</f>
        <v/>
      </c>
      <c r="F11" s="53">
        <f>Assumptions!C2*'Allocation Keys'!F11+Assumptions!C3*'Allocation Keys'!G11+Assumptions!C4*'Allocation Keys'!K11</f>
        <v/>
      </c>
      <c r="G11" s="53">
        <f>Assumptions!D2*'Allocation Keys'!F11+Assumptions!D3*'Allocation Keys'!G11+Assumptions!D4*'Allocation Keys'!K11</f>
        <v/>
      </c>
      <c r="H11" s="53">
        <f>Assumptions!B5*(Assumptions!B6*'Allocation Keys'!G11+Assumptions!B7*'Allocation Keys'!F11+Assumptions!B8*'Allocation Keys'!K11+Assumptions!B9*'Allocation Keys'!I11)</f>
        <v/>
      </c>
      <c r="I11" s="53">
        <f>Assumptions!C5*(Assumptions!C6*'Allocation Keys'!G11+Assumptions!C7*'Allocation Keys'!F11+Assumptions!C8*'Allocation Keys'!K11+Assumptions!C9*'Allocation Keys'!I11)</f>
        <v/>
      </c>
      <c r="J11" s="53">
        <f>Assumptions!D5*(Assumptions!D6*'Allocation Keys'!G11+Assumptions!D7*'Allocation Keys'!F11+Assumptions!D8*'Allocation Keys'!K11+Assumptions!D9*'Allocation Keys'!I11)</f>
        <v/>
      </c>
      <c r="K11" s="54">
        <f>I11/D11</f>
        <v/>
      </c>
      <c r="L11" s="55">
        <f>I11/C11*1000</f>
        <v/>
      </c>
      <c r="M11" s="53">
        <f>I11-Assumptions!C5*Assumptions!C9*'Allocation Keys'!I11</f>
        <v/>
      </c>
      <c r="N11" s="53">
        <f>I11*Assumptions!C10</f>
        <v/>
      </c>
      <c r="O11" s="55">
        <f>H11*Assumptions!B10*Assumptions!B11/1000*'Allocation Keys'!Q11</f>
        <v/>
      </c>
      <c r="P11" s="55">
        <f>I11*Assumptions!C10*Assumptions!C11/1000*'Allocation Keys'!R11</f>
        <v/>
      </c>
      <c r="Q11" s="55">
        <f>J11*Assumptions!D10*Assumptions!D11/1000*'Allocation Keys'!S11</f>
        <v/>
      </c>
      <c r="R11" s="55">
        <f>F11*Assumptions!C10*Assumptions!C11/1000*'Allocation Keys'!R11</f>
        <v/>
      </c>
      <c r="S11" s="56">
        <f>'Life Expectancy'!F11</f>
        <v/>
      </c>
      <c r="T11" s="55">
        <f>S11+V11</f>
        <v/>
      </c>
      <c r="U11" s="57">
        <f>O11*-0.008743</f>
        <v/>
      </c>
      <c r="V11" s="57">
        <f>P11*-0.00873295</f>
        <v/>
      </c>
      <c r="W11" s="57">
        <f>Q11*-0.00871529</f>
        <v/>
      </c>
      <c r="X11" s="55">
        <f>V11*12</f>
        <v/>
      </c>
      <c r="Y11" s="57">
        <f>R11*-0.0087384</f>
        <v/>
      </c>
    </row>
    <row r="12" ht="15" customHeight="1" s="44">
      <c r="A12" s="48" t="n">
        <v>11</v>
      </c>
      <c r="B12" s="51" t="inlineStr">
        <is>
          <t>Maricopa</t>
        </is>
      </c>
      <c r="C12" s="52">
        <f>'Allocation Keys'!C12</f>
        <v/>
      </c>
      <c r="D12" s="52">
        <f>'Allocation Keys'!D12</f>
        <v/>
      </c>
      <c r="E12" s="53">
        <f>Assumptions!B2*'Allocation Keys'!F12+Assumptions!B3*'Allocation Keys'!G12+Assumptions!B4*'Allocation Keys'!K12</f>
        <v/>
      </c>
      <c r="F12" s="53">
        <f>Assumptions!C2*'Allocation Keys'!F12+Assumptions!C3*'Allocation Keys'!G12+Assumptions!C4*'Allocation Keys'!K12</f>
        <v/>
      </c>
      <c r="G12" s="53">
        <f>Assumptions!D2*'Allocation Keys'!F12+Assumptions!D3*'Allocation Keys'!G12+Assumptions!D4*'Allocation Keys'!K12</f>
        <v/>
      </c>
      <c r="H12" s="53">
        <f>Assumptions!B5*(Assumptions!B6*'Allocation Keys'!G12+Assumptions!B7*'Allocation Keys'!F12+Assumptions!B8*'Allocation Keys'!K12+Assumptions!B9*'Allocation Keys'!I12)</f>
        <v/>
      </c>
      <c r="I12" s="53">
        <f>Assumptions!C5*(Assumptions!C6*'Allocation Keys'!G12+Assumptions!C7*'Allocation Keys'!F12+Assumptions!C8*'Allocation Keys'!K12+Assumptions!C9*'Allocation Keys'!I12)</f>
        <v/>
      </c>
      <c r="J12" s="53">
        <f>Assumptions!D5*(Assumptions!D6*'Allocation Keys'!G12+Assumptions!D7*'Allocation Keys'!F12+Assumptions!D8*'Allocation Keys'!K12+Assumptions!D9*'Allocation Keys'!I12)</f>
        <v/>
      </c>
      <c r="K12" s="54">
        <f>I12/D12</f>
        <v/>
      </c>
      <c r="L12" s="55">
        <f>I12/C12*1000</f>
        <v/>
      </c>
      <c r="M12" s="53">
        <f>I12-Assumptions!C5*Assumptions!C9*'Allocation Keys'!I12</f>
        <v/>
      </c>
      <c r="N12" s="53">
        <f>I12*Assumptions!C10</f>
        <v/>
      </c>
      <c r="O12" s="55">
        <f>H12*Assumptions!B10*Assumptions!B11/1000*'Allocation Keys'!Q12</f>
        <v/>
      </c>
      <c r="P12" s="55">
        <f>I12*Assumptions!C10*Assumptions!C11/1000*'Allocation Keys'!R12</f>
        <v/>
      </c>
      <c r="Q12" s="55">
        <f>J12*Assumptions!D10*Assumptions!D11/1000*'Allocation Keys'!S12</f>
        <v/>
      </c>
      <c r="R12" s="55">
        <f>F12*Assumptions!C10*Assumptions!C11/1000*'Allocation Keys'!R12</f>
        <v/>
      </c>
      <c r="S12" s="56">
        <f>'Life Expectancy'!F12</f>
        <v/>
      </c>
      <c r="T12" s="55">
        <f>S12+V12</f>
        <v/>
      </c>
      <c r="U12" s="57">
        <f>O12*-0.00919463</f>
        <v/>
      </c>
      <c r="V12" s="57">
        <f>P12*-0.00917632</f>
        <v/>
      </c>
      <c r="W12" s="57">
        <f>Q12*-0.00914423</f>
        <v/>
      </c>
      <c r="X12" s="55">
        <f>V12*12</f>
        <v/>
      </c>
      <c r="Y12" s="57">
        <f>R12*-0.00918705</f>
        <v/>
      </c>
    </row>
    <row r="13" ht="15" customHeight="1" s="44">
      <c r="A13" s="48" t="n">
        <v>12</v>
      </c>
      <c r="B13" s="51" t="inlineStr">
        <is>
          <t>Maricopa</t>
        </is>
      </c>
      <c r="C13" s="52">
        <f>'Allocation Keys'!C13</f>
        <v/>
      </c>
      <c r="D13" s="52">
        <f>'Allocation Keys'!D13</f>
        <v/>
      </c>
      <c r="E13" s="53">
        <f>Assumptions!B2*'Allocation Keys'!F13+Assumptions!B3*'Allocation Keys'!G13+Assumptions!B4*'Allocation Keys'!K13</f>
        <v/>
      </c>
      <c r="F13" s="53">
        <f>Assumptions!C2*'Allocation Keys'!F13+Assumptions!C3*'Allocation Keys'!G13+Assumptions!C4*'Allocation Keys'!K13</f>
        <v/>
      </c>
      <c r="G13" s="53">
        <f>Assumptions!D2*'Allocation Keys'!F13+Assumptions!D3*'Allocation Keys'!G13+Assumptions!D4*'Allocation Keys'!K13</f>
        <v/>
      </c>
      <c r="H13" s="53">
        <f>Assumptions!B5*(Assumptions!B6*'Allocation Keys'!G13+Assumptions!B7*'Allocation Keys'!F13+Assumptions!B8*'Allocation Keys'!K13+Assumptions!B9*'Allocation Keys'!I13)</f>
        <v/>
      </c>
      <c r="I13" s="53">
        <f>Assumptions!C5*(Assumptions!C6*'Allocation Keys'!G13+Assumptions!C7*'Allocation Keys'!F13+Assumptions!C8*'Allocation Keys'!K13+Assumptions!C9*'Allocation Keys'!I13)</f>
        <v/>
      </c>
      <c r="J13" s="53">
        <f>Assumptions!D5*(Assumptions!D6*'Allocation Keys'!G13+Assumptions!D7*'Allocation Keys'!F13+Assumptions!D8*'Allocation Keys'!K13+Assumptions!D9*'Allocation Keys'!I13)</f>
        <v/>
      </c>
      <c r="K13" s="54">
        <f>I13/D13</f>
        <v/>
      </c>
      <c r="L13" s="55">
        <f>I13/C13*1000</f>
        <v/>
      </c>
      <c r="M13" s="53">
        <f>I13-Assumptions!C5*Assumptions!C9*'Allocation Keys'!I13</f>
        <v/>
      </c>
      <c r="N13" s="53">
        <f>I13*Assumptions!C10</f>
        <v/>
      </c>
      <c r="O13" s="55">
        <f>H13*Assumptions!B10*Assumptions!B11/1000*'Allocation Keys'!Q13</f>
        <v/>
      </c>
      <c r="P13" s="55">
        <f>I13*Assumptions!C10*Assumptions!C11/1000*'Allocation Keys'!R13</f>
        <v/>
      </c>
      <c r="Q13" s="55">
        <f>J13*Assumptions!D10*Assumptions!D11/1000*'Allocation Keys'!S13</f>
        <v/>
      </c>
      <c r="R13" s="55">
        <f>F13*Assumptions!C10*Assumptions!C11/1000*'Allocation Keys'!R13</f>
        <v/>
      </c>
      <c r="S13" s="56">
        <f>'Life Expectancy'!F13</f>
        <v/>
      </c>
      <c r="T13" s="55">
        <f>S13+V13</f>
        <v/>
      </c>
      <c r="U13" s="57">
        <f>O13*-0.00915705</f>
        <v/>
      </c>
      <c r="V13" s="57">
        <f>P13*-0.00915048</f>
        <v/>
      </c>
      <c r="W13" s="57">
        <f>Q13*-0.00913894</f>
        <v/>
      </c>
      <c r="X13" s="55">
        <f>V13*12</f>
        <v/>
      </c>
      <c r="Y13" s="57">
        <f>R13*-0.00915379</f>
        <v/>
      </c>
    </row>
    <row r="14" ht="15" customHeight="1" s="44">
      <c r="A14" s="48" t="n">
        <v>13</v>
      </c>
      <c r="B14" s="51" t="inlineStr">
        <is>
          <t>Maricopa</t>
        </is>
      </c>
      <c r="C14" s="52">
        <f>'Allocation Keys'!C14</f>
        <v/>
      </c>
      <c r="D14" s="52">
        <f>'Allocation Keys'!D14</f>
        <v/>
      </c>
      <c r="E14" s="53">
        <f>Assumptions!B2*'Allocation Keys'!F14+Assumptions!B3*'Allocation Keys'!G14+Assumptions!B4*'Allocation Keys'!K14</f>
        <v/>
      </c>
      <c r="F14" s="53">
        <f>Assumptions!C2*'Allocation Keys'!F14+Assumptions!C3*'Allocation Keys'!G14+Assumptions!C4*'Allocation Keys'!K14</f>
        <v/>
      </c>
      <c r="G14" s="53">
        <f>Assumptions!D2*'Allocation Keys'!F14+Assumptions!D3*'Allocation Keys'!G14+Assumptions!D4*'Allocation Keys'!K14</f>
        <v/>
      </c>
      <c r="H14" s="53">
        <f>Assumptions!B5*(Assumptions!B6*'Allocation Keys'!G14+Assumptions!B7*'Allocation Keys'!F14+Assumptions!B8*'Allocation Keys'!K14+Assumptions!B9*'Allocation Keys'!I14)</f>
        <v/>
      </c>
      <c r="I14" s="53">
        <f>Assumptions!C5*(Assumptions!C6*'Allocation Keys'!G14+Assumptions!C7*'Allocation Keys'!F14+Assumptions!C8*'Allocation Keys'!K14+Assumptions!C9*'Allocation Keys'!I14)</f>
        <v/>
      </c>
      <c r="J14" s="53">
        <f>Assumptions!D5*(Assumptions!D6*'Allocation Keys'!G14+Assumptions!D7*'Allocation Keys'!F14+Assumptions!D8*'Allocation Keys'!K14+Assumptions!D9*'Allocation Keys'!I14)</f>
        <v/>
      </c>
      <c r="K14" s="54">
        <f>I14/D14</f>
        <v/>
      </c>
      <c r="L14" s="55">
        <f>I14/C14*1000</f>
        <v/>
      </c>
      <c r="M14" s="53">
        <f>I14-Assumptions!C5*Assumptions!C9*'Allocation Keys'!I14</f>
        <v/>
      </c>
      <c r="N14" s="53">
        <f>I14*Assumptions!C10</f>
        <v/>
      </c>
      <c r="O14" s="55">
        <f>H14*Assumptions!B10*Assumptions!B11/1000*'Allocation Keys'!Q14</f>
        <v/>
      </c>
      <c r="P14" s="55">
        <f>I14*Assumptions!C10*Assumptions!C11/1000*'Allocation Keys'!R14</f>
        <v/>
      </c>
      <c r="Q14" s="55">
        <f>J14*Assumptions!D10*Assumptions!D11/1000*'Allocation Keys'!S14</f>
        <v/>
      </c>
      <c r="R14" s="55">
        <f>F14*Assumptions!C10*Assumptions!C11/1000*'Allocation Keys'!R14</f>
        <v/>
      </c>
      <c r="S14" s="56">
        <f>'Life Expectancy'!F14</f>
        <v/>
      </c>
      <c r="T14" s="55">
        <f>S14+V14</f>
        <v/>
      </c>
      <c r="U14" s="57">
        <f>O14*-0.00996349</f>
        <v/>
      </c>
      <c r="V14" s="57">
        <f>P14*-0.00995621</f>
        <v/>
      </c>
      <c r="W14" s="57">
        <f>Q14*-0.00994341</f>
        <v/>
      </c>
      <c r="X14" s="55">
        <f>V14*12</f>
        <v/>
      </c>
      <c r="Y14" s="57">
        <f>R14*-0.0099595</f>
        <v/>
      </c>
    </row>
    <row r="15" ht="15" customHeight="1" s="44">
      <c r="A15" s="48" t="n">
        <v>14</v>
      </c>
      <c r="B15" s="51" t="inlineStr">
        <is>
          <t>Maricopa</t>
        </is>
      </c>
      <c r="C15" s="52">
        <f>'Allocation Keys'!C15</f>
        <v/>
      </c>
      <c r="D15" s="52">
        <f>'Allocation Keys'!D15</f>
        <v/>
      </c>
      <c r="E15" s="53">
        <f>Assumptions!B2*'Allocation Keys'!F15+Assumptions!B3*'Allocation Keys'!G15+Assumptions!B4*'Allocation Keys'!K15</f>
        <v/>
      </c>
      <c r="F15" s="53">
        <f>Assumptions!C2*'Allocation Keys'!F15+Assumptions!C3*'Allocation Keys'!G15+Assumptions!C4*'Allocation Keys'!K15</f>
        <v/>
      </c>
      <c r="G15" s="53">
        <f>Assumptions!D2*'Allocation Keys'!F15+Assumptions!D3*'Allocation Keys'!G15+Assumptions!D4*'Allocation Keys'!K15</f>
        <v/>
      </c>
      <c r="H15" s="53">
        <f>Assumptions!B5*(Assumptions!B6*'Allocation Keys'!G15+Assumptions!B7*'Allocation Keys'!F15+Assumptions!B8*'Allocation Keys'!K15+Assumptions!B9*'Allocation Keys'!I15)</f>
        <v/>
      </c>
      <c r="I15" s="53">
        <f>Assumptions!C5*(Assumptions!C6*'Allocation Keys'!G15+Assumptions!C7*'Allocation Keys'!F15+Assumptions!C8*'Allocation Keys'!K15+Assumptions!C9*'Allocation Keys'!I15)</f>
        <v/>
      </c>
      <c r="J15" s="53">
        <f>Assumptions!D5*(Assumptions!D6*'Allocation Keys'!G15+Assumptions!D7*'Allocation Keys'!F15+Assumptions!D8*'Allocation Keys'!K15+Assumptions!D9*'Allocation Keys'!I15)</f>
        <v/>
      </c>
      <c r="K15" s="54">
        <f>I15/D15</f>
        <v/>
      </c>
      <c r="L15" s="55">
        <f>I15/C15*1000</f>
        <v/>
      </c>
      <c r="M15" s="53">
        <f>I15-Assumptions!C5*Assumptions!C9*'Allocation Keys'!I15</f>
        <v/>
      </c>
      <c r="N15" s="53">
        <f>I15*Assumptions!C10</f>
        <v/>
      </c>
      <c r="O15" s="55">
        <f>H15*Assumptions!B10*Assumptions!B11/1000*'Allocation Keys'!Q15</f>
        <v/>
      </c>
      <c r="P15" s="55">
        <f>I15*Assumptions!C10*Assumptions!C11/1000*'Allocation Keys'!R15</f>
        <v/>
      </c>
      <c r="Q15" s="55">
        <f>J15*Assumptions!D10*Assumptions!D11/1000*'Allocation Keys'!S15</f>
        <v/>
      </c>
      <c r="R15" s="55">
        <f>F15*Assumptions!C10*Assumptions!C11/1000*'Allocation Keys'!R15</f>
        <v/>
      </c>
      <c r="S15" s="56">
        <f>'Life Expectancy'!F15</f>
        <v/>
      </c>
      <c r="T15" s="55">
        <f>S15+V15</f>
        <v/>
      </c>
      <c r="U15" s="57">
        <f>O15*-0.00980142</f>
        <v/>
      </c>
      <c r="V15" s="57">
        <f>P15*-0.00979558</f>
        <v/>
      </c>
      <c r="W15" s="57">
        <f>Q15*-0.00978531</f>
        <v/>
      </c>
      <c r="X15" s="55">
        <f>V15*12</f>
        <v/>
      </c>
      <c r="Y15" s="57">
        <f>R15*-0.00979832</f>
        <v/>
      </c>
    </row>
    <row r="16" ht="15" customHeight="1" s="44">
      <c r="A16" s="48" t="n">
        <v>15</v>
      </c>
      <c r="B16" s="51" t="inlineStr">
        <is>
          <t>Maricopa</t>
        </is>
      </c>
      <c r="C16" s="52">
        <f>'Allocation Keys'!C16</f>
        <v/>
      </c>
      <c r="D16" s="52">
        <f>'Allocation Keys'!D16</f>
        <v/>
      </c>
      <c r="E16" s="53">
        <f>Assumptions!B2*'Allocation Keys'!F16+Assumptions!B3*'Allocation Keys'!G16+Assumptions!B4*'Allocation Keys'!K16</f>
        <v/>
      </c>
      <c r="F16" s="53">
        <f>Assumptions!C2*'Allocation Keys'!F16+Assumptions!C3*'Allocation Keys'!G16+Assumptions!C4*'Allocation Keys'!K16</f>
        <v/>
      </c>
      <c r="G16" s="53">
        <f>Assumptions!D2*'Allocation Keys'!F16+Assumptions!D3*'Allocation Keys'!G16+Assumptions!D4*'Allocation Keys'!K16</f>
        <v/>
      </c>
      <c r="H16" s="53">
        <f>Assumptions!B5*(Assumptions!B6*'Allocation Keys'!G16+Assumptions!B7*'Allocation Keys'!F16+Assumptions!B8*'Allocation Keys'!K16+Assumptions!B9*'Allocation Keys'!I16)</f>
        <v/>
      </c>
      <c r="I16" s="53">
        <f>Assumptions!C5*(Assumptions!C6*'Allocation Keys'!G16+Assumptions!C7*'Allocation Keys'!F16+Assumptions!C8*'Allocation Keys'!K16+Assumptions!C9*'Allocation Keys'!I16)</f>
        <v/>
      </c>
      <c r="J16" s="53">
        <f>Assumptions!D5*(Assumptions!D6*'Allocation Keys'!G16+Assumptions!D7*'Allocation Keys'!F16+Assumptions!D8*'Allocation Keys'!K16+Assumptions!D9*'Allocation Keys'!I16)</f>
        <v/>
      </c>
      <c r="K16" s="54">
        <f>I16/D16</f>
        <v/>
      </c>
      <c r="L16" s="55">
        <f>I16/C16*1000</f>
        <v/>
      </c>
      <c r="M16" s="53">
        <f>I16-Assumptions!C5*Assumptions!C9*'Allocation Keys'!I16</f>
        <v/>
      </c>
      <c r="N16" s="53">
        <f>I16*Assumptions!C10</f>
        <v/>
      </c>
      <c r="O16" s="55">
        <f>H16*Assumptions!B10*Assumptions!B11/1000*'Allocation Keys'!Q16</f>
        <v/>
      </c>
      <c r="P16" s="55">
        <f>I16*Assumptions!C10*Assumptions!C11/1000*'Allocation Keys'!R16</f>
        <v/>
      </c>
      <c r="Q16" s="55">
        <f>J16*Assumptions!D10*Assumptions!D11/1000*'Allocation Keys'!S16</f>
        <v/>
      </c>
      <c r="R16" s="55">
        <f>F16*Assumptions!C10*Assumptions!C11/1000*'Allocation Keys'!R16</f>
        <v/>
      </c>
      <c r="S16" s="56">
        <f>'Life Expectancy'!F16</f>
        <v/>
      </c>
      <c r="T16" s="55">
        <f>S16+V16</f>
        <v/>
      </c>
      <c r="U16" s="57">
        <f>O16*-0.00936631</f>
        <v/>
      </c>
      <c r="V16" s="57">
        <f>P16*-0.00935821</f>
        <v/>
      </c>
      <c r="W16" s="57">
        <f>Q16*-0.00934398</f>
        <v/>
      </c>
      <c r="X16" s="55">
        <f>V16*12</f>
        <v/>
      </c>
      <c r="Y16" s="57">
        <f>R16*-0.00936309</f>
        <v/>
      </c>
    </row>
    <row r="17" ht="15" customHeight="1" s="44">
      <c r="A17" s="48" t="n">
        <v>16</v>
      </c>
      <c r="B17" s="51" t="inlineStr">
        <is>
          <t>Pinal</t>
        </is>
      </c>
      <c r="C17" s="52">
        <f>'Allocation Keys'!C17</f>
        <v/>
      </c>
      <c r="D17" s="52">
        <f>'Allocation Keys'!D17</f>
        <v/>
      </c>
      <c r="E17" s="53">
        <f>Assumptions!B2*'Allocation Keys'!F17+Assumptions!B3*'Allocation Keys'!G17+Assumptions!B4*'Allocation Keys'!K17</f>
        <v/>
      </c>
      <c r="F17" s="53">
        <f>Assumptions!C2*'Allocation Keys'!F17+Assumptions!C3*'Allocation Keys'!G17+Assumptions!C4*'Allocation Keys'!K17</f>
        <v/>
      </c>
      <c r="G17" s="53">
        <f>Assumptions!D2*'Allocation Keys'!F17+Assumptions!D3*'Allocation Keys'!G17+Assumptions!D4*'Allocation Keys'!K17</f>
        <v/>
      </c>
      <c r="H17" s="53">
        <f>Assumptions!B5*(Assumptions!B6*'Allocation Keys'!G17+Assumptions!B7*'Allocation Keys'!F17+Assumptions!B8*'Allocation Keys'!K17+Assumptions!B9*'Allocation Keys'!I17)</f>
        <v/>
      </c>
      <c r="I17" s="53">
        <f>Assumptions!C5*(Assumptions!C6*'Allocation Keys'!G17+Assumptions!C7*'Allocation Keys'!F17+Assumptions!C8*'Allocation Keys'!K17+Assumptions!C9*'Allocation Keys'!I17)</f>
        <v/>
      </c>
      <c r="J17" s="53">
        <f>Assumptions!D5*(Assumptions!D6*'Allocation Keys'!G17+Assumptions!D7*'Allocation Keys'!F17+Assumptions!D8*'Allocation Keys'!K17+Assumptions!D9*'Allocation Keys'!I17)</f>
        <v/>
      </c>
      <c r="K17" s="54">
        <f>I17/D17</f>
        <v/>
      </c>
      <c r="L17" s="55">
        <f>I17/C17*1000</f>
        <v/>
      </c>
      <c r="M17" s="53">
        <f>I17-Assumptions!C5*Assumptions!C9*'Allocation Keys'!I17</f>
        <v/>
      </c>
      <c r="N17" s="53">
        <f>I17*Assumptions!C10</f>
        <v/>
      </c>
      <c r="O17" s="55">
        <f>H17*Assumptions!B10*Assumptions!B11/1000*'Allocation Keys'!Q17</f>
        <v/>
      </c>
      <c r="P17" s="55">
        <f>I17*Assumptions!C10*Assumptions!C11/1000*'Allocation Keys'!R17</f>
        <v/>
      </c>
      <c r="Q17" s="55">
        <f>J17*Assumptions!D10*Assumptions!D11/1000*'Allocation Keys'!S17</f>
        <v/>
      </c>
      <c r="R17" s="55">
        <f>F17*Assumptions!C10*Assumptions!C11/1000*'Allocation Keys'!R17</f>
        <v/>
      </c>
      <c r="S17" s="56">
        <f>'Life Expectancy'!F17</f>
        <v/>
      </c>
      <c r="T17" s="55">
        <f>S17+V17</f>
        <v/>
      </c>
      <c r="U17" s="57">
        <f>O17*-0.00928222</f>
        <v/>
      </c>
      <c r="V17" s="57">
        <f>P17*-0.00926882</f>
        <v/>
      </c>
      <c r="W17" s="57">
        <f>Q17*-0.00924532</f>
        <v/>
      </c>
      <c r="X17" s="55">
        <f>V17*12</f>
        <v/>
      </c>
      <c r="Y17" s="57">
        <f>R17*-0.00927674</f>
        <v/>
      </c>
    </row>
    <row r="18" ht="15" customHeight="1" s="44">
      <c r="A18" s="48" t="n">
        <v>17</v>
      </c>
      <c r="B18" s="51" t="inlineStr">
        <is>
          <t>Pima</t>
        </is>
      </c>
      <c r="C18" s="52">
        <f>'Allocation Keys'!C18</f>
        <v/>
      </c>
      <c r="D18" s="52">
        <f>'Allocation Keys'!D18</f>
        <v/>
      </c>
      <c r="E18" s="53">
        <f>Assumptions!B2*'Allocation Keys'!F18+Assumptions!B3*'Allocation Keys'!G18+Assumptions!B4*'Allocation Keys'!K18</f>
        <v/>
      </c>
      <c r="F18" s="53">
        <f>Assumptions!C2*'Allocation Keys'!F18+Assumptions!C3*'Allocation Keys'!G18+Assumptions!C4*'Allocation Keys'!K18</f>
        <v/>
      </c>
      <c r="G18" s="53">
        <f>Assumptions!D2*'Allocation Keys'!F18+Assumptions!D3*'Allocation Keys'!G18+Assumptions!D4*'Allocation Keys'!K18</f>
        <v/>
      </c>
      <c r="H18" s="53">
        <f>Assumptions!B5*(Assumptions!B6*'Allocation Keys'!G18+Assumptions!B7*'Allocation Keys'!F18+Assumptions!B8*'Allocation Keys'!K18+Assumptions!B9*'Allocation Keys'!I18)</f>
        <v/>
      </c>
      <c r="I18" s="53">
        <f>Assumptions!C5*(Assumptions!C6*'Allocation Keys'!G18+Assumptions!C7*'Allocation Keys'!F18+Assumptions!C8*'Allocation Keys'!K18+Assumptions!C9*'Allocation Keys'!I18)</f>
        <v/>
      </c>
      <c r="J18" s="53">
        <f>Assumptions!D5*(Assumptions!D6*'Allocation Keys'!G18+Assumptions!D7*'Allocation Keys'!F18+Assumptions!D8*'Allocation Keys'!K18+Assumptions!D9*'Allocation Keys'!I18)</f>
        <v/>
      </c>
      <c r="K18" s="54">
        <f>I18/D18</f>
        <v/>
      </c>
      <c r="L18" s="55">
        <f>I18/C18*1000</f>
        <v/>
      </c>
      <c r="M18" s="53">
        <f>I18-Assumptions!C5*Assumptions!C9*'Allocation Keys'!I18</f>
        <v/>
      </c>
      <c r="N18" s="53">
        <f>I18*Assumptions!C10</f>
        <v/>
      </c>
      <c r="O18" s="55">
        <f>H18*Assumptions!B10*Assumptions!B11/1000*'Allocation Keys'!Q18</f>
        <v/>
      </c>
      <c r="P18" s="55">
        <f>I18*Assumptions!C10*Assumptions!C11/1000*'Allocation Keys'!R18</f>
        <v/>
      </c>
      <c r="Q18" s="55">
        <f>J18*Assumptions!D10*Assumptions!D11/1000*'Allocation Keys'!S18</f>
        <v/>
      </c>
      <c r="R18" s="55">
        <f>F18*Assumptions!C10*Assumptions!C11/1000*'Allocation Keys'!R18</f>
        <v/>
      </c>
      <c r="S18" s="56">
        <f>'Life Expectancy'!F18</f>
        <v/>
      </c>
      <c r="T18" s="55">
        <f>S18+V18</f>
        <v/>
      </c>
      <c r="U18" s="57">
        <f>O18*-0.00981603</f>
        <v/>
      </c>
      <c r="V18" s="57">
        <f>P18*-0.00980728</f>
        <v/>
      </c>
      <c r="W18" s="57">
        <f>Q18*-0.00979191</f>
        <v/>
      </c>
      <c r="X18" s="55">
        <f>V18*12</f>
        <v/>
      </c>
      <c r="Y18" s="57">
        <f>R18*-0.00981233</f>
        <v/>
      </c>
    </row>
    <row r="19" ht="15" customHeight="1" s="44">
      <c r="A19" s="48" t="n">
        <v>18</v>
      </c>
      <c r="B19" s="51" t="inlineStr">
        <is>
          <t>Pima</t>
        </is>
      </c>
      <c r="C19" s="52">
        <f>'Allocation Keys'!C19</f>
        <v/>
      </c>
      <c r="D19" s="52">
        <f>'Allocation Keys'!D19</f>
        <v/>
      </c>
      <c r="E19" s="53">
        <f>Assumptions!B2*'Allocation Keys'!F19+Assumptions!B3*'Allocation Keys'!G19+Assumptions!B4*'Allocation Keys'!K19</f>
        <v/>
      </c>
      <c r="F19" s="53">
        <f>Assumptions!C2*'Allocation Keys'!F19+Assumptions!C3*'Allocation Keys'!G19+Assumptions!C4*'Allocation Keys'!K19</f>
        <v/>
      </c>
      <c r="G19" s="53">
        <f>Assumptions!D2*'Allocation Keys'!F19+Assumptions!D3*'Allocation Keys'!G19+Assumptions!D4*'Allocation Keys'!K19</f>
        <v/>
      </c>
      <c r="H19" s="53">
        <f>Assumptions!B5*(Assumptions!B6*'Allocation Keys'!G19+Assumptions!B7*'Allocation Keys'!F19+Assumptions!B8*'Allocation Keys'!K19+Assumptions!B9*'Allocation Keys'!I19)</f>
        <v/>
      </c>
      <c r="I19" s="53">
        <f>Assumptions!C5*(Assumptions!C6*'Allocation Keys'!G19+Assumptions!C7*'Allocation Keys'!F19+Assumptions!C8*'Allocation Keys'!K19+Assumptions!C9*'Allocation Keys'!I19)</f>
        <v/>
      </c>
      <c r="J19" s="53">
        <f>Assumptions!D5*(Assumptions!D6*'Allocation Keys'!G19+Assumptions!D7*'Allocation Keys'!F19+Assumptions!D8*'Allocation Keys'!K19+Assumptions!D9*'Allocation Keys'!I19)</f>
        <v/>
      </c>
      <c r="K19" s="54">
        <f>I19/D19</f>
        <v/>
      </c>
      <c r="L19" s="55">
        <f>I19/C19*1000</f>
        <v/>
      </c>
      <c r="M19" s="53">
        <f>I19-Assumptions!C5*Assumptions!C9*'Allocation Keys'!I19</f>
        <v/>
      </c>
      <c r="N19" s="53">
        <f>I19*Assumptions!C10</f>
        <v/>
      </c>
      <c r="O19" s="55">
        <f>H19*Assumptions!B10*Assumptions!B11/1000*'Allocation Keys'!Q19</f>
        <v/>
      </c>
      <c r="P19" s="55">
        <f>I19*Assumptions!C10*Assumptions!C11/1000*'Allocation Keys'!R19</f>
        <v/>
      </c>
      <c r="Q19" s="55">
        <f>J19*Assumptions!D10*Assumptions!D11/1000*'Allocation Keys'!S19</f>
        <v/>
      </c>
      <c r="R19" s="55">
        <f>F19*Assumptions!C10*Assumptions!C11/1000*'Allocation Keys'!R19</f>
        <v/>
      </c>
      <c r="S19" s="56">
        <f>'Life Expectancy'!F19</f>
        <v/>
      </c>
      <c r="T19" s="55">
        <f>S19+V19</f>
        <v/>
      </c>
      <c r="U19" s="57">
        <f>O19*-0.00903863</f>
        <v/>
      </c>
      <c r="V19" s="57">
        <f>P19*-0.00902537</f>
        <v/>
      </c>
      <c r="W19" s="57">
        <f>Q19*-0.00900209</f>
        <v/>
      </c>
      <c r="X19" s="55">
        <f>V19*12</f>
        <v/>
      </c>
      <c r="Y19" s="57">
        <f>R19*-0.00903279</f>
        <v/>
      </c>
    </row>
    <row r="20" ht="15" customHeight="1" s="44">
      <c r="A20" s="48" t="n">
        <v>19</v>
      </c>
      <c r="B20" s="51" t="inlineStr">
        <is>
          <t>Cochise</t>
        </is>
      </c>
      <c r="C20" s="52">
        <f>'Allocation Keys'!C20</f>
        <v/>
      </c>
      <c r="D20" s="52">
        <f>'Allocation Keys'!D20</f>
        <v/>
      </c>
      <c r="E20" s="53">
        <f>Assumptions!B2*'Allocation Keys'!F20+Assumptions!B3*'Allocation Keys'!G20+Assumptions!B4*'Allocation Keys'!K20</f>
        <v/>
      </c>
      <c r="F20" s="53">
        <f>Assumptions!C2*'Allocation Keys'!F20+Assumptions!C3*'Allocation Keys'!G20+Assumptions!C4*'Allocation Keys'!K20</f>
        <v/>
      </c>
      <c r="G20" s="53">
        <f>Assumptions!D2*'Allocation Keys'!F20+Assumptions!D3*'Allocation Keys'!G20+Assumptions!D4*'Allocation Keys'!K20</f>
        <v/>
      </c>
      <c r="H20" s="53">
        <f>Assumptions!B5*(Assumptions!B6*'Allocation Keys'!G20+Assumptions!B7*'Allocation Keys'!F20+Assumptions!B8*'Allocation Keys'!K20+Assumptions!B9*'Allocation Keys'!I20)</f>
        <v/>
      </c>
      <c r="I20" s="53">
        <f>Assumptions!C5*(Assumptions!C6*'Allocation Keys'!G20+Assumptions!C7*'Allocation Keys'!F20+Assumptions!C8*'Allocation Keys'!K20+Assumptions!C9*'Allocation Keys'!I20)</f>
        <v/>
      </c>
      <c r="J20" s="53">
        <f>Assumptions!D5*(Assumptions!D6*'Allocation Keys'!G20+Assumptions!D7*'Allocation Keys'!F20+Assumptions!D8*'Allocation Keys'!K20+Assumptions!D9*'Allocation Keys'!I20)</f>
        <v/>
      </c>
      <c r="K20" s="54">
        <f>I20/D20</f>
        <v/>
      </c>
      <c r="L20" s="55">
        <f>I20/C20*1000</f>
        <v/>
      </c>
      <c r="M20" s="53">
        <f>I20-Assumptions!C5*Assumptions!C9*'Allocation Keys'!I20</f>
        <v/>
      </c>
      <c r="N20" s="53">
        <f>I20*Assumptions!C10</f>
        <v/>
      </c>
      <c r="O20" s="55">
        <f>H20*Assumptions!B10*Assumptions!B11/1000*'Allocation Keys'!Q20</f>
        <v/>
      </c>
      <c r="P20" s="55">
        <f>I20*Assumptions!C10*Assumptions!C11/1000*'Allocation Keys'!R20</f>
        <v/>
      </c>
      <c r="Q20" s="55">
        <f>J20*Assumptions!D10*Assumptions!D11/1000*'Allocation Keys'!S20</f>
        <v/>
      </c>
      <c r="R20" s="55">
        <f>F20*Assumptions!C10*Assumptions!C11/1000*'Allocation Keys'!R20</f>
        <v/>
      </c>
      <c r="S20" s="56">
        <f>'Life Expectancy'!F20</f>
        <v/>
      </c>
      <c r="T20" s="55">
        <f>S20+V20</f>
        <v/>
      </c>
      <c r="U20" s="57">
        <f>O20*-0.01110737</f>
        <v/>
      </c>
      <c r="V20" s="57">
        <f>P20*-0.01108753</f>
        <v/>
      </c>
      <c r="W20" s="57">
        <f>Q20*-0.01105273</f>
        <v/>
      </c>
      <c r="X20" s="55">
        <f>V20*12</f>
        <v/>
      </c>
      <c r="Y20" s="57">
        <f>R20*-0.01109984</f>
        <v/>
      </c>
    </row>
    <row r="21" ht="15" customHeight="1" s="44">
      <c r="A21" s="48" t="n">
        <v>20</v>
      </c>
      <c r="B21" s="51" t="inlineStr">
        <is>
          <t>Pima</t>
        </is>
      </c>
      <c r="C21" s="52">
        <f>'Allocation Keys'!C21</f>
        <v/>
      </c>
      <c r="D21" s="52">
        <f>'Allocation Keys'!D21</f>
        <v/>
      </c>
      <c r="E21" s="53">
        <f>Assumptions!B2*'Allocation Keys'!F21+Assumptions!B3*'Allocation Keys'!G21+Assumptions!B4*'Allocation Keys'!K21</f>
        <v/>
      </c>
      <c r="F21" s="53">
        <f>Assumptions!C2*'Allocation Keys'!F21+Assumptions!C3*'Allocation Keys'!G21+Assumptions!C4*'Allocation Keys'!K21</f>
        <v/>
      </c>
      <c r="G21" s="53">
        <f>Assumptions!D2*'Allocation Keys'!F21+Assumptions!D3*'Allocation Keys'!G21+Assumptions!D4*'Allocation Keys'!K21</f>
        <v/>
      </c>
      <c r="H21" s="53">
        <f>Assumptions!B5*(Assumptions!B6*'Allocation Keys'!G21+Assumptions!B7*'Allocation Keys'!F21+Assumptions!B8*'Allocation Keys'!K21+Assumptions!B9*'Allocation Keys'!I21)</f>
        <v/>
      </c>
      <c r="I21" s="53">
        <f>Assumptions!C5*(Assumptions!C6*'Allocation Keys'!G21+Assumptions!C7*'Allocation Keys'!F21+Assumptions!C8*'Allocation Keys'!K21+Assumptions!C9*'Allocation Keys'!I21)</f>
        <v/>
      </c>
      <c r="J21" s="53">
        <f>Assumptions!D5*(Assumptions!D6*'Allocation Keys'!G21+Assumptions!D7*'Allocation Keys'!F21+Assumptions!D8*'Allocation Keys'!K21+Assumptions!D9*'Allocation Keys'!I21)</f>
        <v/>
      </c>
      <c r="K21" s="54">
        <f>I21/D21</f>
        <v/>
      </c>
      <c r="L21" s="55">
        <f>I21/C21*1000</f>
        <v/>
      </c>
      <c r="M21" s="53">
        <f>I21-Assumptions!C5*Assumptions!C9*'Allocation Keys'!I21</f>
        <v/>
      </c>
      <c r="N21" s="53">
        <f>I21*Assumptions!C10</f>
        <v/>
      </c>
      <c r="O21" s="55">
        <f>H21*Assumptions!B10*Assumptions!B11/1000*'Allocation Keys'!Q21</f>
        <v/>
      </c>
      <c r="P21" s="55">
        <f>I21*Assumptions!C10*Assumptions!C11/1000*'Allocation Keys'!R21</f>
        <v/>
      </c>
      <c r="Q21" s="55">
        <f>J21*Assumptions!D10*Assumptions!D11/1000*'Allocation Keys'!S21</f>
        <v/>
      </c>
      <c r="R21" s="55">
        <f>F21*Assumptions!C10*Assumptions!C11/1000*'Allocation Keys'!R21</f>
        <v/>
      </c>
      <c r="S21" s="56">
        <f>'Life Expectancy'!F21</f>
        <v/>
      </c>
      <c r="T21" s="55">
        <f>S21+V21</f>
        <v/>
      </c>
      <c r="U21" s="57">
        <f>O21*-0.00958725</f>
        <v/>
      </c>
      <c r="V21" s="57">
        <f>P21*-0.0095656</f>
        <v/>
      </c>
      <c r="W21" s="57">
        <f>Q21*-0.00952765</f>
        <v/>
      </c>
      <c r="X21" s="55">
        <f>V21*12</f>
        <v/>
      </c>
      <c r="Y21" s="57">
        <f>R21*-0.00957895</f>
        <v/>
      </c>
    </row>
    <row r="22" ht="15" customHeight="1" s="44">
      <c r="A22" s="48" t="n">
        <v>21</v>
      </c>
      <c r="B22" s="51" t="inlineStr">
        <is>
          <t>Pima</t>
        </is>
      </c>
      <c r="C22" s="52">
        <f>'Allocation Keys'!C22</f>
        <v/>
      </c>
      <c r="D22" s="52">
        <f>'Allocation Keys'!D22</f>
        <v/>
      </c>
      <c r="E22" s="53">
        <f>Assumptions!B2*'Allocation Keys'!F22+Assumptions!B3*'Allocation Keys'!G22+Assumptions!B4*'Allocation Keys'!K22</f>
        <v/>
      </c>
      <c r="F22" s="53">
        <f>Assumptions!C2*'Allocation Keys'!F22+Assumptions!C3*'Allocation Keys'!G22+Assumptions!C4*'Allocation Keys'!K22</f>
        <v/>
      </c>
      <c r="G22" s="53">
        <f>Assumptions!D2*'Allocation Keys'!F22+Assumptions!D3*'Allocation Keys'!G22+Assumptions!D4*'Allocation Keys'!K22</f>
        <v/>
      </c>
      <c r="H22" s="53">
        <f>Assumptions!B5*(Assumptions!B6*'Allocation Keys'!G22+Assumptions!B7*'Allocation Keys'!F22+Assumptions!B8*'Allocation Keys'!K22+Assumptions!B9*'Allocation Keys'!I22)</f>
        <v/>
      </c>
      <c r="I22" s="53">
        <f>Assumptions!C5*(Assumptions!C6*'Allocation Keys'!G22+Assumptions!C7*'Allocation Keys'!F22+Assumptions!C8*'Allocation Keys'!K22+Assumptions!C9*'Allocation Keys'!I22)</f>
        <v/>
      </c>
      <c r="J22" s="53">
        <f>Assumptions!D5*(Assumptions!D6*'Allocation Keys'!G22+Assumptions!D7*'Allocation Keys'!F22+Assumptions!D8*'Allocation Keys'!K22+Assumptions!D9*'Allocation Keys'!I22)</f>
        <v/>
      </c>
      <c r="K22" s="54">
        <f>I22/D22</f>
        <v/>
      </c>
      <c r="L22" s="55">
        <f>I22/C22*1000</f>
        <v/>
      </c>
      <c r="M22" s="53">
        <f>I22-Assumptions!C5*Assumptions!C9*'Allocation Keys'!I22</f>
        <v/>
      </c>
      <c r="N22" s="53">
        <f>I22*Assumptions!C10</f>
        <v/>
      </c>
      <c r="O22" s="55">
        <f>H22*Assumptions!B10*Assumptions!B11/1000*'Allocation Keys'!Q22</f>
        <v/>
      </c>
      <c r="P22" s="55">
        <f>I22*Assumptions!C10*Assumptions!C11/1000*'Allocation Keys'!R22</f>
        <v/>
      </c>
      <c r="Q22" s="55">
        <f>J22*Assumptions!D10*Assumptions!D11/1000*'Allocation Keys'!S22</f>
        <v/>
      </c>
      <c r="R22" s="55">
        <f>F22*Assumptions!C10*Assumptions!C11/1000*'Allocation Keys'!R22</f>
        <v/>
      </c>
      <c r="S22" s="56">
        <f>'Life Expectancy'!F22</f>
        <v/>
      </c>
      <c r="T22" s="55">
        <f>S22+V22</f>
        <v/>
      </c>
      <c r="U22" s="57">
        <f>O22*-0.00977367</f>
        <v/>
      </c>
      <c r="V22" s="57">
        <f>P22*-0.00975243</f>
        <v/>
      </c>
      <c r="W22" s="57">
        <f>Q22*-0.00971522</f>
        <v/>
      </c>
      <c r="X22" s="55">
        <f>V22*12</f>
        <v/>
      </c>
      <c r="Y22" s="57">
        <f>R22*-0.00976547</f>
        <v/>
      </c>
    </row>
    <row r="23" ht="15" customHeight="1" s="44">
      <c r="A23" s="48" t="n">
        <v>22</v>
      </c>
      <c r="B23" s="51" t="inlineStr">
        <is>
          <t>Maricopa</t>
        </is>
      </c>
      <c r="C23" s="52">
        <f>'Allocation Keys'!C23</f>
        <v/>
      </c>
      <c r="D23" s="52">
        <f>'Allocation Keys'!D23</f>
        <v/>
      </c>
      <c r="E23" s="53">
        <f>Assumptions!B2*'Allocation Keys'!F23+Assumptions!B3*'Allocation Keys'!G23+Assumptions!B4*'Allocation Keys'!K23</f>
        <v/>
      </c>
      <c r="F23" s="53">
        <f>Assumptions!C2*'Allocation Keys'!F23+Assumptions!C3*'Allocation Keys'!G23+Assumptions!C4*'Allocation Keys'!K23</f>
        <v/>
      </c>
      <c r="G23" s="53">
        <f>Assumptions!D2*'Allocation Keys'!F23+Assumptions!D3*'Allocation Keys'!G23+Assumptions!D4*'Allocation Keys'!K23</f>
        <v/>
      </c>
      <c r="H23" s="53">
        <f>Assumptions!B5*(Assumptions!B6*'Allocation Keys'!G23+Assumptions!B7*'Allocation Keys'!F23+Assumptions!B8*'Allocation Keys'!K23+Assumptions!B9*'Allocation Keys'!I23)</f>
        <v/>
      </c>
      <c r="I23" s="53">
        <f>Assumptions!C5*(Assumptions!C6*'Allocation Keys'!G23+Assumptions!C7*'Allocation Keys'!F23+Assumptions!C8*'Allocation Keys'!K23+Assumptions!C9*'Allocation Keys'!I23)</f>
        <v/>
      </c>
      <c r="J23" s="53">
        <f>Assumptions!D5*(Assumptions!D6*'Allocation Keys'!G23+Assumptions!D7*'Allocation Keys'!F23+Assumptions!D8*'Allocation Keys'!K23+Assumptions!D9*'Allocation Keys'!I23)</f>
        <v/>
      </c>
      <c r="K23" s="54">
        <f>I23/D23</f>
        <v/>
      </c>
      <c r="L23" s="55">
        <f>I23/C23*1000</f>
        <v/>
      </c>
      <c r="M23" s="53">
        <f>I23-Assumptions!C5*Assumptions!C9*'Allocation Keys'!I23</f>
        <v/>
      </c>
      <c r="N23" s="53">
        <f>I23*Assumptions!C10</f>
        <v/>
      </c>
      <c r="O23" s="55">
        <f>H23*Assumptions!B10*Assumptions!B11/1000*'Allocation Keys'!Q23</f>
        <v/>
      </c>
      <c r="P23" s="55">
        <f>I23*Assumptions!C10*Assumptions!C11/1000*'Allocation Keys'!R23</f>
        <v/>
      </c>
      <c r="Q23" s="55">
        <f>J23*Assumptions!D10*Assumptions!D11/1000*'Allocation Keys'!S23</f>
        <v/>
      </c>
      <c r="R23" s="55">
        <f>F23*Assumptions!C10*Assumptions!C11/1000*'Allocation Keys'!R23</f>
        <v/>
      </c>
      <c r="S23" s="56">
        <f>'Life Expectancy'!F23</f>
        <v/>
      </c>
      <c r="T23" s="55">
        <f>S23+V23</f>
        <v/>
      </c>
      <c r="U23" s="57">
        <f>O23*-0.00901735</f>
        <v/>
      </c>
      <c r="V23" s="57">
        <f>P23*-0.00900199</f>
        <v/>
      </c>
      <c r="W23" s="57">
        <f>Q23*-0.00897505</f>
        <v/>
      </c>
      <c r="X23" s="55">
        <f>V23*12</f>
        <v/>
      </c>
      <c r="Y23" s="57">
        <f>R23*-0.00901126</f>
        <v/>
      </c>
    </row>
    <row r="24" ht="15" customHeight="1" s="44">
      <c r="A24" s="48" t="n">
        <v>23</v>
      </c>
      <c r="B24" s="51" t="inlineStr">
        <is>
          <t>Yuma</t>
        </is>
      </c>
      <c r="C24" s="52">
        <f>'Allocation Keys'!C24</f>
        <v/>
      </c>
      <c r="D24" s="52">
        <f>'Allocation Keys'!D24</f>
        <v/>
      </c>
      <c r="E24" s="53">
        <f>Assumptions!B2*'Allocation Keys'!F24+Assumptions!B3*'Allocation Keys'!G24+Assumptions!B4*'Allocation Keys'!K24</f>
        <v/>
      </c>
      <c r="F24" s="53">
        <f>Assumptions!C2*'Allocation Keys'!F24+Assumptions!C3*'Allocation Keys'!G24+Assumptions!C4*'Allocation Keys'!K24</f>
        <v/>
      </c>
      <c r="G24" s="53">
        <f>Assumptions!D2*'Allocation Keys'!F24+Assumptions!D3*'Allocation Keys'!G24+Assumptions!D4*'Allocation Keys'!K24</f>
        <v/>
      </c>
      <c r="H24" s="53">
        <f>Assumptions!B5*(Assumptions!B6*'Allocation Keys'!G24+Assumptions!B7*'Allocation Keys'!F24+Assumptions!B8*'Allocation Keys'!K24+Assumptions!B9*'Allocation Keys'!I24)</f>
        <v/>
      </c>
      <c r="I24" s="53">
        <f>Assumptions!C5*(Assumptions!C6*'Allocation Keys'!G24+Assumptions!C7*'Allocation Keys'!F24+Assumptions!C8*'Allocation Keys'!K24+Assumptions!C9*'Allocation Keys'!I24)</f>
        <v/>
      </c>
      <c r="J24" s="53">
        <f>Assumptions!D5*(Assumptions!D6*'Allocation Keys'!G24+Assumptions!D7*'Allocation Keys'!F24+Assumptions!D8*'Allocation Keys'!K24+Assumptions!D9*'Allocation Keys'!I24)</f>
        <v/>
      </c>
      <c r="K24" s="54">
        <f>I24/D24</f>
        <v/>
      </c>
      <c r="L24" s="55">
        <f>I24/C24*1000</f>
        <v/>
      </c>
      <c r="M24" s="53">
        <f>I24-Assumptions!C5*Assumptions!C9*'Allocation Keys'!I24</f>
        <v/>
      </c>
      <c r="N24" s="53">
        <f>I24*Assumptions!C10</f>
        <v/>
      </c>
      <c r="O24" s="55">
        <f>H24*Assumptions!B10*Assumptions!B11/1000*'Allocation Keys'!Q24</f>
        <v/>
      </c>
      <c r="P24" s="55">
        <f>I24*Assumptions!C10*Assumptions!C11/1000*'Allocation Keys'!R24</f>
        <v/>
      </c>
      <c r="Q24" s="55">
        <f>J24*Assumptions!D10*Assumptions!D11/1000*'Allocation Keys'!S24</f>
        <v/>
      </c>
      <c r="R24" s="55">
        <f>F24*Assumptions!C10*Assumptions!C11/1000*'Allocation Keys'!R24</f>
        <v/>
      </c>
      <c r="S24" s="56">
        <f>'Life Expectancy'!F24</f>
        <v/>
      </c>
      <c r="T24" s="55">
        <f>S24+V24</f>
        <v/>
      </c>
      <c r="U24" s="57">
        <f>O24*-0.01038002</f>
        <v/>
      </c>
      <c r="V24" s="57">
        <f>P24*-0.01035873</f>
        <v/>
      </c>
      <c r="W24" s="57">
        <f>Q24*-0.01032141</f>
        <v/>
      </c>
      <c r="X24" s="55">
        <f>V24*12</f>
        <v/>
      </c>
      <c r="Y24" s="57">
        <f>R24*-0.01037203</f>
        <v/>
      </c>
    </row>
    <row r="25" ht="15" customHeight="1" s="44">
      <c r="A25" s="48" t="n">
        <v>24</v>
      </c>
      <c r="B25" s="51" t="inlineStr">
        <is>
          <t>Maricopa</t>
        </is>
      </c>
      <c r="C25" s="52">
        <f>'Allocation Keys'!C25</f>
        <v/>
      </c>
      <c r="D25" s="52">
        <f>'Allocation Keys'!D25</f>
        <v/>
      </c>
      <c r="E25" s="53">
        <f>Assumptions!B2*'Allocation Keys'!F25+Assumptions!B3*'Allocation Keys'!G25+Assumptions!B4*'Allocation Keys'!K25</f>
        <v/>
      </c>
      <c r="F25" s="53">
        <f>Assumptions!C2*'Allocation Keys'!F25+Assumptions!C3*'Allocation Keys'!G25+Assumptions!C4*'Allocation Keys'!K25</f>
        <v/>
      </c>
      <c r="G25" s="53">
        <f>Assumptions!D2*'Allocation Keys'!F25+Assumptions!D3*'Allocation Keys'!G25+Assumptions!D4*'Allocation Keys'!K25</f>
        <v/>
      </c>
      <c r="H25" s="53">
        <f>Assumptions!B5*(Assumptions!B6*'Allocation Keys'!G25+Assumptions!B7*'Allocation Keys'!F25+Assumptions!B8*'Allocation Keys'!K25+Assumptions!B9*'Allocation Keys'!I25)</f>
        <v/>
      </c>
      <c r="I25" s="53">
        <f>Assumptions!C5*(Assumptions!C6*'Allocation Keys'!G25+Assumptions!C7*'Allocation Keys'!F25+Assumptions!C8*'Allocation Keys'!K25+Assumptions!C9*'Allocation Keys'!I25)</f>
        <v/>
      </c>
      <c r="J25" s="53">
        <f>Assumptions!D5*(Assumptions!D6*'Allocation Keys'!G25+Assumptions!D7*'Allocation Keys'!F25+Assumptions!D8*'Allocation Keys'!K25+Assumptions!D9*'Allocation Keys'!I25)</f>
        <v/>
      </c>
      <c r="K25" s="54">
        <f>I25/D25</f>
        <v/>
      </c>
      <c r="L25" s="55">
        <f>I25/C25*1000</f>
        <v/>
      </c>
      <c r="M25" s="53">
        <f>I25-Assumptions!C5*Assumptions!C9*'Allocation Keys'!I25</f>
        <v/>
      </c>
      <c r="N25" s="53">
        <f>I25*Assumptions!C10</f>
        <v/>
      </c>
      <c r="O25" s="55">
        <f>H25*Assumptions!B10*Assumptions!B11/1000*'Allocation Keys'!Q25</f>
        <v/>
      </c>
      <c r="P25" s="55">
        <f>I25*Assumptions!C10*Assumptions!C11/1000*'Allocation Keys'!R25</f>
        <v/>
      </c>
      <c r="Q25" s="55">
        <f>J25*Assumptions!D10*Assumptions!D11/1000*'Allocation Keys'!S25</f>
        <v/>
      </c>
      <c r="R25" s="55">
        <f>F25*Assumptions!C10*Assumptions!C11/1000*'Allocation Keys'!R25</f>
        <v/>
      </c>
      <c r="S25" s="56">
        <f>'Life Expectancy'!F25</f>
        <v/>
      </c>
      <c r="T25" s="55">
        <f>S25+V25</f>
        <v/>
      </c>
      <c r="U25" s="57">
        <f>O25*-0.00991382</f>
        <v/>
      </c>
      <c r="V25" s="57">
        <f>P25*-0.00988933</f>
        <v/>
      </c>
      <c r="W25" s="57">
        <f>Q25*-0.00984645</f>
        <v/>
      </c>
      <c r="X25" s="55">
        <f>V25*12</f>
        <v/>
      </c>
      <c r="Y25" s="57">
        <f>R25*-0.00990352</f>
        <v/>
      </c>
    </row>
    <row r="26" ht="15" customHeight="1" s="44">
      <c r="A26" s="48" t="n">
        <v>25</v>
      </c>
      <c r="B26" s="51" t="inlineStr">
        <is>
          <t>Maricopa</t>
        </is>
      </c>
      <c r="C26" s="52">
        <f>'Allocation Keys'!C26</f>
        <v/>
      </c>
      <c r="D26" s="52">
        <f>'Allocation Keys'!D26</f>
        <v/>
      </c>
      <c r="E26" s="53">
        <f>Assumptions!B2*'Allocation Keys'!F26+Assumptions!B3*'Allocation Keys'!G26+Assumptions!B4*'Allocation Keys'!K26</f>
        <v/>
      </c>
      <c r="F26" s="53">
        <f>Assumptions!C2*'Allocation Keys'!F26+Assumptions!C3*'Allocation Keys'!G26+Assumptions!C4*'Allocation Keys'!K26</f>
        <v/>
      </c>
      <c r="G26" s="53">
        <f>Assumptions!D2*'Allocation Keys'!F26+Assumptions!D3*'Allocation Keys'!G26+Assumptions!D4*'Allocation Keys'!K26</f>
        <v/>
      </c>
      <c r="H26" s="53">
        <f>Assumptions!B5*(Assumptions!B6*'Allocation Keys'!G26+Assumptions!B7*'Allocation Keys'!F26+Assumptions!B8*'Allocation Keys'!K26+Assumptions!B9*'Allocation Keys'!I26)</f>
        <v/>
      </c>
      <c r="I26" s="53">
        <f>Assumptions!C5*(Assumptions!C6*'Allocation Keys'!G26+Assumptions!C7*'Allocation Keys'!F26+Assumptions!C8*'Allocation Keys'!K26+Assumptions!C9*'Allocation Keys'!I26)</f>
        <v/>
      </c>
      <c r="J26" s="53">
        <f>Assumptions!D5*(Assumptions!D6*'Allocation Keys'!G26+Assumptions!D7*'Allocation Keys'!F26+Assumptions!D8*'Allocation Keys'!K26+Assumptions!D9*'Allocation Keys'!I26)</f>
        <v/>
      </c>
      <c r="K26" s="54">
        <f>I26/D26</f>
        <v/>
      </c>
      <c r="L26" s="55">
        <f>I26/C26*1000</f>
        <v/>
      </c>
      <c r="M26" s="53">
        <f>I26-Assumptions!C5*Assumptions!C9*'Allocation Keys'!I26</f>
        <v/>
      </c>
      <c r="N26" s="53">
        <f>I26*Assumptions!C10</f>
        <v/>
      </c>
      <c r="O26" s="55">
        <f>H26*Assumptions!B10*Assumptions!B11/1000*'Allocation Keys'!Q26</f>
        <v/>
      </c>
      <c r="P26" s="55">
        <f>I26*Assumptions!C10*Assumptions!C11/1000*'Allocation Keys'!R26</f>
        <v/>
      </c>
      <c r="Q26" s="55">
        <f>J26*Assumptions!D10*Assumptions!D11/1000*'Allocation Keys'!S26</f>
        <v/>
      </c>
      <c r="R26" s="55">
        <f>F26*Assumptions!C10*Assumptions!C11/1000*'Allocation Keys'!R26</f>
        <v/>
      </c>
      <c r="S26" s="56">
        <f>'Life Expectancy'!F26</f>
        <v/>
      </c>
      <c r="T26" s="55">
        <f>S26+V26</f>
        <v/>
      </c>
      <c r="U26" s="57">
        <f>O26*-0.00981054</f>
        <v/>
      </c>
      <c r="V26" s="57">
        <f>P26*-0.00979661</f>
        <v/>
      </c>
      <c r="W26" s="57">
        <f>Q26*-0.00977217</f>
        <v/>
      </c>
      <c r="X26" s="55">
        <f>V26*12</f>
        <v/>
      </c>
      <c r="Y26" s="57">
        <f>R26*-0.00980428</f>
        <v/>
      </c>
    </row>
    <row r="27" ht="15" customHeight="1" s="44">
      <c r="A27" s="48" t="n">
        <v>26</v>
      </c>
      <c r="B27" s="51" t="inlineStr">
        <is>
          <t>Maricopa</t>
        </is>
      </c>
      <c r="C27" s="52">
        <f>'Allocation Keys'!C27</f>
        <v/>
      </c>
      <c r="D27" s="52">
        <f>'Allocation Keys'!D27</f>
        <v/>
      </c>
      <c r="E27" s="53">
        <f>Assumptions!B2*'Allocation Keys'!F27+Assumptions!B3*'Allocation Keys'!G27+Assumptions!B4*'Allocation Keys'!K27</f>
        <v/>
      </c>
      <c r="F27" s="53">
        <f>Assumptions!C2*'Allocation Keys'!F27+Assumptions!C3*'Allocation Keys'!G27+Assumptions!C4*'Allocation Keys'!K27</f>
        <v/>
      </c>
      <c r="G27" s="53">
        <f>Assumptions!D2*'Allocation Keys'!F27+Assumptions!D3*'Allocation Keys'!G27+Assumptions!D4*'Allocation Keys'!K27</f>
        <v/>
      </c>
      <c r="H27" s="53">
        <f>Assumptions!B5*(Assumptions!B6*'Allocation Keys'!G27+Assumptions!B7*'Allocation Keys'!F27+Assumptions!B8*'Allocation Keys'!K27+Assumptions!B9*'Allocation Keys'!I27)</f>
        <v/>
      </c>
      <c r="I27" s="53">
        <f>Assumptions!C5*(Assumptions!C6*'Allocation Keys'!G27+Assumptions!C7*'Allocation Keys'!F27+Assumptions!C8*'Allocation Keys'!K27+Assumptions!C9*'Allocation Keys'!I27)</f>
        <v/>
      </c>
      <c r="J27" s="53">
        <f>Assumptions!D5*(Assumptions!D6*'Allocation Keys'!G27+Assumptions!D7*'Allocation Keys'!F27+Assumptions!D8*'Allocation Keys'!K27+Assumptions!D9*'Allocation Keys'!I27)</f>
        <v/>
      </c>
      <c r="K27" s="54">
        <f>I27/D27</f>
        <v/>
      </c>
      <c r="L27" s="55">
        <f>I27/C27*1000</f>
        <v/>
      </c>
      <c r="M27" s="53">
        <f>I27-Assumptions!C5*Assumptions!C9*'Allocation Keys'!I27</f>
        <v/>
      </c>
      <c r="N27" s="53">
        <f>I27*Assumptions!C10</f>
        <v/>
      </c>
      <c r="O27" s="55">
        <f>H27*Assumptions!B10*Assumptions!B11/1000*'Allocation Keys'!Q27</f>
        <v/>
      </c>
      <c r="P27" s="55">
        <f>I27*Assumptions!C10*Assumptions!C11/1000*'Allocation Keys'!R27</f>
        <v/>
      </c>
      <c r="Q27" s="55">
        <f>J27*Assumptions!D10*Assumptions!D11/1000*'Allocation Keys'!S27</f>
        <v/>
      </c>
      <c r="R27" s="55">
        <f>F27*Assumptions!C10*Assumptions!C11/1000*'Allocation Keys'!R27</f>
        <v/>
      </c>
      <c r="S27" s="56">
        <f>'Life Expectancy'!F27</f>
        <v/>
      </c>
      <c r="T27" s="55">
        <f>S27+V27</f>
        <v/>
      </c>
      <c r="U27" s="57">
        <f>O27*-0.00958228</f>
        <v/>
      </c>
      <c r="V27" s="57">
        <f>P27*-0.00955633</f>
        <v/>
      </c>
      <c r="W27" s="57">
        <f>Q27*-0.0095109</f>
        <v/>
      </c>
      <c r="X27" s="55">
        <f>V27*12</f>
        <v/>
      </c>
      <c r="Y27" s="57">
        <f>R27*-0.00956956</f>
        <v/>
      </c>
    </row>
    <row r="28" ht="15" customHeight="1" s="44">
      <c r="A28" s="48" t="n">
        <v>27</v>
      </c>
      <c r="B28" s="51" t="inlineStr">
        <is>
          <t>Maricopa</t>
        </is>
      </c>
      <c r="C28" s="52">
        <f>'Allocation Keys'!C28</f>
        <v/>
      </c>
      <c r="D28" s="52">
        <f>'Allocation Keys'!D28</f>
        <v/>
      </c>
      <c r="E28" s="53">
        <f>Assumptions!B2*'Allocation Keys'!F28+Assumptions!B3*'Allocation Keys'!G28+Assumptions!B4*'Allocation Keys'!K28</f>
        <v/>
      </c>
      <c r="F28" s="53">
        <f>Assumptions!C2*'Allocation Keys'!F28+Assumptions!C3*'Allocation Keys'!G28+Assumptions!C4*'Allocation Keys'!K28</f>
        <v/>
      </c>
      <c r="G28" s="53">
        <f>Assumptions!D2*'Allocation Keys'!F28+Assumptions!D3*'Allocation Keys'!G28+Assumptions!D4*'Allocation Keys'!K28</f>
        <v/>
      </c>
      <c r="H28" s="53">
        <f>Assumptions!B5*(Assumptions!B6*'Allocation Keys'!G28+Assumptions!B7*'Allocation Keys'!F28+Assumptions!B8*'Allocation Keys'!K28+Assumptions!B9*'Allocation Keys'!I28)</f>
        <v/>
      </c>
      <c r="I28" s="53">
        <f>Assumptions!C5*(Assumptions!C6*'Allocation Keys'!G28+Assumptions!C7*'Allocation Keys'!F28+Assumptions!C8*'Allocation Keys'!K28+Assumptions!C9*'Allocation Keys'!I28)</f>
        <v/>
      </c>
      <c r="J28" s="53">
        <f>Assumptions!D5*(Assumptions!D6*'Allocation Keys'!G28+Assumptions!D7*'Allocation Keys'!F28+Assumptions!D8*'Allocation Keys'!K28+Assumptions!D9*'Allocation Keys'!I28)</f>
        <v/>
      </c>
      <c r="K28" s="54">
        <f>I28/D28</f>
        <v/>
      </c>
      <c r="L28" s="55">
        <f>I28/C28*1000</f>
        <v/>
      </c>
      <c r="M28" s="53">
        <f>I28-Assumptions!C5*Assumptions!C9*'Allocation Keys'!I28</f>
        <v/>
      </c>
      <c r="N28" s="53">
        <f>I28*Assumptions!C10</f>
        <v/>
      </c>
      <c r="O28" s="55">
        <f>H28*Assumptions!B10*Assumptions!B11/1000*'Allocation Keys'!Q28</f>
        <v/>
      </c>
      <c r="P28" s="55">
        <f>I28*Assumptions!C10*Assumptions!C11/1000*'Allocation Keys'!R28</f>
        <v/>
      </c>
      <c r="Q28" s="55">
        <f>J28*Assumptions!D10*Assumptions!D11/1000*'Allocation Keys'!S28</f>
        <v/>
      </c>
      <c r="R28" s="55">
        <f>F28*Assumptions!C10*Assumptions!C11/1000*'Allocation Keys'!R28</f>
        <v/>
      </c>
      <c r="S28" s="56">
        <f>'Life Expectancy'!F28</f>
        <v/>
      </c>
      <c r="T28" s="55">
        <f>S28+V28</f>
        <v/>
      </c>
      <c r="U28" s="57">
        <f>O28*-0.00870763</f>
        <v/>
      </c>
      <c r="V28" s="57">
        <f>P28*-0.00869489</f>
        <v/>
      </c>
      <c r="W28" s="57">
        <f>Q28*-0.00867254</f>
        <v/>
      </c>
      <c r="X28" s="55">
        <f>V28*12</f>
        <v/>
      </c>
      <c r="Y28" s="57">
        <f>R28*-0.00870183</f>
        <v/>
      </c>
    </row>
    <row r="29" ht="15" customHeight="1" s="44">
      <c r="A29" s="48" t="n">
        <v>28</v>
      </c>
      <c r="B29" s="51" t="inlineStr">
        <is>
          <t>Maricopa</t>
        </is>
      </c>
      <c r="C29" s="52">
        <f>'Allocation Keys'!C29</f>
        <v/>
      </c>
      <c r="D29" s="52">
        <f>'Allocation Keys'!D29</f>
        <v/>
      </c>
      <c r="E29" s="53">
        <f>Assumptions!B2*'Allocation Keys'!F29+Assumptions!B3*'Allocation Keys'!G29+Assumptions!B4*'Allocation Keys'!K29</f>
        <v/>
      </c>
      <c r="F29" s="53">
        <f>Assumptions!C2*'Allocation Keys'!F29+Assumptions!C3*'Allocation Keys'!G29+Assumptions!C4*'Allocation Keys'!K29</f>
        <v/>
      </c>
      <c r="G29" s="53">
        <f>Assumptions!D2*'Allocation Keys'!F29+Assumptions!D3*'Allocation Keys'!G29+Assumptions!D4*'Allocation Keys'!K29</f>
        <v/>
      </c>
      <c r="H29" s="53">
        <f>Assumptions!B5*(Assumptions!B6*'Allocation Keys'!G29+Assumptions!B7*'Allocation Keys'!F29+Assumptions!B8*'Allocation Keys'!K29+Assumptions!B9*'Allocation Keys'!I29)</f>
        <v/>
      </c>
      <c r="I29" s="53">
        <f>Assumptions!C5*(Assumptions!C6*'Allocation Keys'!G29+Assumptions!C7*'Allocation Keys'!F29+Assumptions!C8*'Allocation Keys'!K29+Assumptions!C9*'Allocation Keys'!I29)</f>
        <v/>
      </c>
      <c r="J29" s="53">
        <f>Assumptions!D5*(Assumptions!D6*'Allocation Keys'!G29+Assumptions!D7*'Allocation Keys'!F29+Assumptions!D8*'Allocation Keys'!K29+Assumptions!D9*'Allocation Keys'!I29)</f>
        <v/>
      </c>
      <c r="K29" s="54">
        <f>I29/D29</f>
        <v/>
      </c>
      <c r="L29" s="55">
        <f>I29/C29*1000</f>
        <v/>
      </c>
      <c r="M29" s="53">
        <f>I29-Assumptions!C5*Assumptions!C9*'Allocation Keys'!I29</f>
        <v/>
      </c>
      <c r="N29" s="53">
        <f>I29*Assumptions!C10</f>
        <v/>
      </c>
      <c r="O29" s="55">
        <f>H29*Assumptions!B10*Assumptions!B11/1000*'Allocation Keys'!Q29</f>
        <v/>
      </c>
      <c r="P29" s="55">
        <f>I29*Assumptions!C10*Assumptions!C11/1000*'Allocation Keys'!R29</f>
        <v/>
      </c>
      <c r="Q29" s="55">
        <f>J29*Assumptions!D10*Assumptions!D11/1000*'Allocation Keys'!S29</f>
        <v/>
      </c>
      <c r="R29" s="55">
        <f>F29*Assumptions!C10*Assumptions!C11/1000*'Allocation Keys'!R29</f>
        <v/>
      </c>
      <c r="S29" s="56">
        <f>'Life Expectancy'!F29</f>
        <v/>
      </c>
      <c r="T29" s="55">
        <f>S29+V29</f>
        <v/>
      </c>
      <c r="U29" s="57">
        <f>O29*-0.01013992</f>
        <v/>
      </c>
      <c r="V29" s="57">
        <f>P29*-0.010131</f>
        <v/>
      </c>
      <c r="W29" s="57">
        <f>Q29*-0.01011532</f>
        <v/>
      </c>
      <c r="X29" s="55">
        <f>V29*12</f>
        <v/>
      </c>
      <c r="Y29" s="57">
        <f>R29*-0.01013511</f>
        <v/>
      </c>
    </row>
    <row r="30" ht="15" customHeight="1" s="44">
      <c r="A30" s="48" t="n">
        <v>29</v>
      </c>
      <c r="B30" s="51" t="inlineStr">
        <is>
          <t>Maricopa</t>
        </is>
      </c>
      <c r="C30" s="52">
        <f>'Allocation Keys'!C30</f>
        <v/>
      </c>
      <c r="D30" s="52">
        <f>'Allocation Keys'!D30</f>
        <v/>
      </c>
      <c r="E30" s="53">
        <f>Assumptions!B2*'Allocation Keys'!F30+Assumptions!B3*'Allocation Keys'!G30+Assumptions!B4*'Allocation Keys'!K30</f>
        <v/>
      </c>
      <c r="F30" s="53">
        <f>Assumptions!C2*'Allocation Keys'!F30+Assumptions!C3*'Allocation Keys'!G30+Assumptions!C4*'Allocation Keys'!K30</f>
        <v/>
      </c>
      <c r="G30" s="53">
        <f>Assumptions!D2*'Allocation Keys'!F30+Assumptions!D3*'Allocation Keys'!G30+Assumptions!D4*'Allocation Keys'!K30</f>
        <v/>
      </c>
      <c r="H30" s="53">
        <f>Assumptions!B5*(Assumptions!B6*'Allocation Keys'!G30+Assumptions!B7*'Allocation Keys'!F30+Assumptions!B8*'Allocation Keys'!K30+Assumptions!B9*'Allocation Keys'!I30)</f>
        <v/>
      </c>
      <c r="I30" s="53">
        <f>Assumptions!C5*(Assumptions!C6*'Allocation Keys'!G30+Assumptions!C7*'Allocation Keys'!F30+Assumptions!C8*'Allocation Keys'!K30+Assumptions!C9*'Allocation Keys'!I30)</f>
        <v/>
      </c>
      <c r="J30" s="53">
        <f>Assumptions!D5*(Assumptions!D6*'Allocation Keys'!G30+Assumptions!D7*'Allocation Keys'!F30+Assumptions!D8*'Allocation Keys'!K30+Assumptions!D9*'Allocation Keys'!I30)</f>
        <v/>
      </c>
      <c r="K30" s="54">
        <f>I30/D30</f>
        <v/>
      </c>
      <c r="L30" s="55">
        <f>I30/C30*1000</f>
        <v/>
      </c>
      <c r="M30" s="53">
        <f>I30-Assumptions!C5*Assumptions!C9*'Allocation Keys'!I30</f>
        <v/>
      </c>
      <c r="N30" s="53">
        <f>I30*Assumptions!C10</f>
        <v/>
      </c>
      <c r="O30" s="55">
        <f>H30*Assumptions!B10*Assumptions!B11/1000*'Allocation Keys'!Q30</f>
        <v/>
      </c>
      <c r="P30" s="55">
        <f>I30*Assumptions!C10*Assumptions!C11/1000*'Allocation Keys'!R30</f>
        <v/>
      </c>
      <c r="Q30" s="55">
        <f>J30*Assumptions!D10*Assumptions!D11/1000*'Allocation Keys'!S30</f>
        <v/>
      </c>
      <c r="R30" s="55">
        <f>F30*Assumptions!C10*Assumptions!C11/1000*'Allocation Keys'!R30</f>
        <v/>
      </c>
      <c r="S30" s="56">
        <f>'Life Expectancy'!F30</f>
        <v/>
      </c>
      <c r="T30" s="55">
        <f>S30+V30</f>
        <v/>
      </c>
      <c r="U30" s="57">
        <f>O30*-0.00917811</f>
        <v/>
      </c>
      <c r="V30" s="57">
        <f>P30*-0.00916651</f>
        <v/>
      </c>
      <c r="W30" s="57">
        <f>Q30*-0.00914614</f>
        <v/>
      </c>
      <c r="X30" s="55">
        <f>V30*12</f>
        <v/>
      </c>
      <c r="Y30" s="57">
        <f>R30*-0.00917322</f>
        <v/>
      </c>
    </row>
    <row r="31" ht="15" customHeight="1" s="44">
      <c r="A31" s="48" t="n">
        <v>30</v>
      </c>
      <c r="B31" s="51" t="inlineStr">
        <is>
          <t>Mohave</t>
        </is>
      </c>
      <c r="C31" s="52">
        <f>'Allocation Keys'!C31</f>
        <v/>
      </c>
      <c r="D31" s="52">
        <f>'Allocation Keys'!D31</f>
        <v/>
      </c>
      <c r="E31" s="53">
        <f>Assumptions!B2*'Allocation Keys'!F31+Assumptions!B3*'Allocation Keys'!G31+Assumptions!B4*'Allocation Keys'!K31</f>
        <v/>
      </c>
      <c r="F31" s="53">
        <f>Assumptions!C2*'Allocation Keys'!F31+Assumptions!C3*'Allocation Keys'!G31+Assumptions!C4*'Allocation Keys'!K31</f>
        <v/>
      </c>
      <c r="G31" s="53">
        <f>Assumptions!D2*'Allocation Keys'!F31+Assumptions!D3*'Allocation Keys'!G31+Assumptions!D4*'Allocation Keys'!K31</f>
        <v/>
      </c>
      <c r="H31" s="53">
        <f>Assumptions!B5*(Assumptions!B6*'Allocation Keys'!G31+Assumptions!B7*'Allocation Keys'!F31+Assumptions!B8*'Allocation Keys'!K31+Assumptions!B9*'Allocation Keys'!I31)</f>
        <v/>
      </c>
      <c r="I31" s="53">
        <f>Assumptions!C5*(Assumptions!C6*'Allocation Keys'!G31+Assumptions!C7*'Allocation Keys'!F31+Assumptions!C8*'Allocation Keys'!K31+Assumptions!C9*'Allocation Keys'!I31)</f>
        <v/>
      </c>
      <c r="J31" s="53">
        <f>Assumptions!D5*(Assumptions!D6*'Allocation Keys'!G31+Assumptions!D7*'Allocation Keys'!F31+Assumptions!D8*'Allocation Keys'!K31+Assumptions!D9*'Allocation Keys'!I31)</f>
        <v/>
      </c>
      <c r="K31" s="54">
        <f>I31/D31</f>
        <v/>
      </c>
      <c r="L31" s="55">
        <f>I31/C31*1000</f>
        <v/>
      </c>
      <c r="M31" s="53">
        <f>I31-Assumptions!C5*Assumptions!C9*'Allocation Keys'!I31</f>
        <v/>
      </c>
      <c r="N31" s="53">
        <f>I31*Assumptions!C10</f>
        <v/>
      </c>
      <c r="O31" s="55">
        <f>H31*Assumptions!B10*Assumptions!B11/1000*'Allocation Keys'!Q31</f>
        <v/>
      </c>
      <c r="P31" s="55">
        <f>I31*Assumptions!C10*Assumptions!C11/1000*'Allocation Keys'!R31</f>
        <v/>
      </c>
      <c r="Q31" s="55">
        <f>J31*Assumptions!D10*Assumptions!D11/1000*'Allocation Keys'!S31</f>
        <v/>
      </c>
      <c r="R31" s="55">
        <f>F31*Assumptions!C10*Assumptions!C11/1000*'Allocation Keys'!R31</f>
        <v/>
      </c>
      <c r="S31" s="56">
        <f>'Life Expectancy'!F31</f>
        <v/>
      </c>
      <c r="T31" s="55">
        <f>S31+V31</f>
        <v/>
      </c>
      <c r="U31" s="57">
        <f>O31*-0.00765604</f>
        <v/>
      </c>
      <c r="V31" s="57">
        <f>P31*-0.00764145</f>
        <v/>
      </c>
      <c r="W31" s="57">
        <f>Q31*-0.00761585</f>
        <v/>
      </c>
      <c r="X31" s="55">
        <f>V31*12</f>
        <v/>
      </c>
      <c r="Y31" s="57">
        <f>R31*-0.0076502</f>
        <v/>
      </c>
    </row>
    <row r="32" ht="15" customHeight="1" s="44">
      <c r="A32" s="48" t="inlineStr">
        <is>
          <t>Arizona</t>
        </is>
      </c>
      <c r="B32" s="48" t="inlineStr">
        <is>
          <t>statewide</t>
        </is>
      </c>
      <c r="C32" s="58">
        <f>SUM(C2:C31)</f>
        <v/>
      </c>
      <c r="D32" s="58">
        <f>SUM(D2:D31)</f>
        <v/>
      </c>
      <c r="E32" s="58">
        <f>SUM(E2:E31)</f>
        <v/>
      </c>
      <c r="F32" s="58">
        <f>SUM(F2:F31)</f>
        <v/>
      </c>
      <c r="G32" s="58">
        <f>SUM(G2:G31)</f>
        <v/>
      </c>
      <c r="H32" s="58">
        <f>SUM(H2:H31)</f>
        <v/>
      </c>
      <c r="I32" s="58">
        <f>SUM(I2:I31)</f>
        <v/>
      </c>
      <c r="J32" s="58">
        <f>SUM(J2:J31)</f>
        <v/>
      </c>
      <c r="K32" s="59">
        <f>I32/D32</f>
        <v/>
      </c>
      <c r="L32" s="60">
        <f>I32/C32*1000</f>
        <v/>
      </c>
      <c r="M32" s="58">
        <f>SUM(M2:M31)</f>
        <v/>
      </c>
      <c r="N32" s="58">
        <f>SUM(N2:N31)</f>
        <v/>
      </c>
      <c r="O32" s="61">
        <f>SUM(O2:O31)</f>
        <v/>
      </c>
      <c r="P32" s="61">
        <f>SUM(P2:P31)</f>
        <v/>
      </c>
      <c r="Q32" s="61">
        <f>SUM(Q2:Q31)</f>
        <v/>
      </c>
      <c r="R32" s="61">
        <f>SUM(R2:R31)</f>
        <v/>
      </c>
      <c r="S32" s="60">
        <f>SUMPRODUCT(S2:S31,C2:C31)/C32</f>
        <v/>
      </c>
      <c r="T32" s="60">
        <f>SUMPRODUCT(T2:T31,C2:C31)/C32</f>
        <v/>
      </c>
      <c r="U32" s="62">
        <f>SUMPRODUCT(U2:U31,C2:C31)/C32</f>
        <v/>
      </c>
      <c r="V32" s="62">
        <f>SUMPRODUCT(V2:V31,C2:C31)/C32</f>
        <v/>
      </c>
      <c r="W32" s="62">
        <f>SUMPRODUCT(W2:W31,C2:C31)/C32</f>
        <v/>
      </c>
      <c r="X32" s="60">
        <f>V32*12</f>
        <v/>
      </c>
      <c r="Y32" s="62">
        <f>SUMPRODUCT(Y2:Y31,C2:C31)/C32</f>
        <v/>
      </c>
    </row>
    <row r="33" ht="15" customHeight="1" s="44">
      <c r="A33" s="63" t="n"/>
      <c r="B33" s="63" t="n"/>
      <c r="C33" s="63" t="n"/>
      <c r="D33" s="63" t="n"/>
      <c r="E33" s="63" t="n"/>
      <c r="F33" s="63" t="n"/>
      <c r="G33" s="63" t="n"/>
      <c r="H33" s="63" t="n"/>
      <c r="I33" s="63" t="n"/>
      <c r="J33" s="63" t="n"/>
      <c r="K33" s="63" t="n"/>
      <c r="L33" s="63" t="n"/>
      <c r="M33" s="63" t="n"/>
      <c r="N33" s="63" t="n"/>
      <c r="O33" s="63" t="n"/>
      <c r="P33" s="63" t="n"/>
      <c r="Q33" s="63" t="n"/>
      <c r="R33" s="63" t="n"/>
      <c r="S33" s="63" t="n"/>
      <c r="T33" s="63" t="n"/>
      <c r="U33" s="63" t="n"/>
      <c r="V33" s="63" t="n"/>
      <c r="W33" s="63" t="n"/>
      <c r="X33" s="63" t="n"/>
      <c r="Y33" s="63" t="n"/>
    </row>
    <row r="34" ht="48" customHeight="1" s="44">
      <c r="A34" s="46" t="inlineStr">
        <is>
          <t>Near term = first full year after the Jan. 1, 2027 start of work requirements and six-month renewals (Urban Institute 2028 projection) plus the Oct. 1, 2026 immigrant-eligibility change. Full phase-in = 2034 (RAND). Low/Central/High is a bounding envelope. Deaths are steady-state annual figures. Life expectancy change is a period life-table effect (see README and Method &amp; Caveats). Population-weighted statewide life expectancy values are shown in the Arizona row.</t>
        </is>
      </c>
    </row>
  </sheetData>
  <mergeCells count="1">
    <mergeCell ref="A34:Y3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8" customWidth="1" style="43" min="1" max="1"/>
    <col width="14" customWidth="1" style="43" min="2" max="4"/>
    <col width="40" customWidth="1" style="43" min="5" max="5"/>
    <col width="90" customWidth="1" style="43" min="6" max="6"/>
  </cols>
  <sheetData>
    <row r="1" ht="45" customHeight="1" s="44">
      <c r="A1" s="50" t="inlineStr">
        <is>
          <t>Parameter</t>
        </is>
      </c>
      <c r="B1" s="50" t="inlineStr">
        <is>
          <t>Low</t>
        </is>
      </c>
      <c r="C1" s="50" t="inlineStr">
        <is>
          <t>Central</t>
        </is>
      </c>
      <c r="D1" s="50" t="inlineStr">
        <is>
          <t>High</t>
        </is>
      </c>
      <c r="E1" s="50" t="inlineStr">
        <is>
          <t>Units / population</t>
        </is>
      </c>
      <c r="F1" s="50" t="inlineStr">
        <is>
          <t>Source (see Sources sheet)</t>
        </is>
      </c>
    </row>
    <row r="2" ht="34.5" customHeight="1" s="44">
      <c r="A2" s="48" t="inlineStr">
        <is>
          <t>NEAR TERM (first full year, 2028): six-month redeterminations, AZ expansion enrollment decline</t>
        </is>
      </c>
      <c r="B2" s="64" t="n">
        <v>56000</v>
      </c>
      <c r="C2" s="64" t="n">
        <v>91000</v>
      </c>
      <c r="D2" s="64" t="n">
        <v>91000</v>
      </c>
      <c r="E2" s="51" t="inlineStr">
        <is>
          <t>expansion adults (allocated by expansion-adult key)</t>
        </is>
      </c>
      <c r="F2" s="46" t="inlineStr">
        <is>
          <t>Urban Institute, Mar 25 2026, Appendix Table A.2 (high/medium/low mitigation) — https://www.urban.org/research/publication/projected-reductions-medicaid-expansion-enrollment-under-obbbas-work</t>
        </is>
      </c>
    </row>
    <row r="3" ht="15" customHeight="1" s="44">
      <c r="A3" s="48" t="inlineStr">
        <is>
          <t>NEAR TERM: work requirement, incremental AZ expansion enrollment decline</t>
        </is>
      </c>
      <c r="B3" s="64" t="n">
        <v>67000</v>
      </c>
      <c r="C3" s="64" t="n">
        <v>106000</v>
      </c>
      <c r="D3" s="64" t="n">
        <v>155000</v>
      </c>
      <c r="E3" s="51" t="inlineStr">
        <is>
          <t>non-AIAN expansion adults (allocated by work-requirement key)</t>
        </is>
      </c>
      <c r="F3" s="46" t="inlineStr">
        <is>
          <t>Urban Institute, Mar 25 2026, Appendix Table A.2 (totals 123k / 197k / 246k, Table 3)</t>
        </is>
      </c>
    </row>
    <row r="4" ht="23.25" customHeight="1" s="44">
      <c r="A4" s="48" t="inlineStr">
        <is>
          <t>NEAR TERM: Oct 1 2026 immigrant-eligibility provision (refugees, asylees, parolees)</t>
        </is>
      </c>
      <c r="B4" s="64" t="n">
        <v>11132</v>
      </c>
      <c r="C4" s="64" t="n">
        <v>22263</v>
      </c>
      <c r="D4" s="64" t="n">
        <v>34263</v>
      </c>
      <c r="E4" s="51" t="inlineStr">
        <is>
          <t>noncitizens with public coverage, excluding Mexico/Cuba/Haiti-born share</t>
        </is>
      </c>
      <c r="F4" s="46" t="inlineStr">
        <is>
          <t>AHCCCS advance notices: 22,263 (AzPHA Aug 31 2026). Low = half retain coverage; High = notices + ~12,000 SSI recipients under review</t>
        </is>
      </c>
    </row>
    <row r="5" ht="15" customHeight="1" s="44">
      <c r="A5" s="48" t="inlineStr">
        <is>
          <t>FULL PHASE-IN (2034): total AZ Medicaid enrollment decline</t>
        </is>
      </c>
      <c r="B5" s="64" t="n">
        <v>248030.303030303</v>
      </c>
      <c r="C5" s="64" t="n">
        <v>327400</v>
      </c>
      <c r="D5" s="64" t="n">
        <v>406769.696969697</v>
      </c>
      <c r="E5" s="51" t="inlineStr">
        <is>
          <t>all enrollees; low/high = KFF/CBO band (250/330, 410/330) applied to RAND central</t>
        </is>
      </c>
      <c r="F5" s="46" t="inlineStr">
        <is>
          <t>RAND RRA4098-1-v2 (June 18 2026) Table B.15: -327,400; KFF Aug 20 2025 range</t>
        </is>
      </c>
    </row>
    <row r="6" ht="15" customHeight="1" s="44">
      <c r="A6" s="51" t="inlineStr">
        <is>
          <t xml:space="preserve">  share: work requirement (198.8k of 369.2k gross)</t>
        </is>
      </c>
      <c r="B6" s="65" t="n">
        <v>0.538461538461539</v>
      </c>
      <c r="C6" s="65" t="n">
        <v>0.538461538461539</v>
      </c>
      <c r="D6" s="65" t="n">
        <v>0.538461538461539</v>
      </c>
      <c r="E6" s="51" t="inlineStr">
        <is>
          <t>allocated by work-requirement key (AIAN excluded)</t>
        </is>
      </c>
      <c r="F6" s="46" t="inlineStr">
        <is>
          <t>RAND Table B.15 provision values, scaled to deduplicated total</t>
        </is>
      </c>
    </row>
    <row r="7" ht="15" customHeight="1" s="44">
      <c r="A7" s="51" t="inlineStr">
        <is>
          <t xml:space="preserve">  share: six-month redeterminations (65.7k)</t>
        </is>
      </c>
      <c r="B7" s="65" t="n">
        <v>0.17795232936078</v>
      </c>
      <c r="C7" s="65" t="n">
        <v>0.17795232936078</v>
      </c>
      <c r="D7" s="65" t="n">
        <v>0.17795232936078</v>
      </c>
      <c r="E7" s="51" t="inlineStr">
        <is>
          <t>allocated by expansion-adult key</t>
        </is>
      </c>
      <c r="F7" s="46" t="inlineStr">
        <is>
          <t>RAND Table B.15</t>
        </is>
      </c>
    </row>
    <row r="8" ht="15" customHeight="1" s="44">
      <c r="A8" s="51" t="inlineStr">
        <is>
          <t xml:space="preserve">  share: immigrant eligibility + emergency FMAP (5.0k + 2.3k)</t>
        </is>
      </c>
      <c r="B8" s="65" t="n">
        <v>0.0197724810400867</v>
      </c>
      <c r="C8" s="65" t="n">
        <v>0.0197724810400867</v>
      </c>
      <c r="D8" s="65" t="n">
        <v>0.0197724810400867</v>
      </c>
      <c r="E8" s="51" t="inlineStr">
        <is>
          <t>allocated by noncitizen key</t>
        </is>
      </c>
      <c r="F8" s="46" t="inlineStr">
        <is>
          <t>RAND Table B.15</t>
        </is>
      </c>
    </row>
    <row r="9" ht="15" customHeight="1" s="44">
      <c r="A9" s="51" t="inlineStr">
        <is>
          <t xml:space="preserve">  share: provider-tax retrenchment + error-payment rule (94.2k + 3.2k)</t>
        </is>
      </c>
      <c r="B9" s="65" t="n">
        <v>0.263813651137595</v>
      </c>
      <c r="C9" s="65" t="n">
        <v>0.263813651137595</v>
      </c>
      <c r="D9" s="65" t="n">
        <v>0.263813651137595</v>
      </c>
      <c r="E9" s="51" t="inlineStr">
        <is>
          <t>allocated by adult (19-64) Medicaid key</t>
        </is>
      </c>
      <c r="F9" s="46" t="inlineStr">
        <is>
          <t>RAND Table B.15 (behavioral assumption: states trim optional eligibility as provider-tax revenue falls)</t>
        </is>
      </c>
    </row>
    <row r="10" ht="23.25" customHeight="1" s="44">
      <c r="A10" s="48" t="inlineStr">
        <is>
          <t>Uninsured per person losing Medicaid enrollment</t>
        </is>
      </c>
      <c r="B10" s="66" t="n">
        <v>0.757281553398058</v>
      </c>
      <c r="C10" s="66" t="n">
        <v>0.757281553398058</v>
      </c>
      <c r="D10" s="66" t="n">
        <v>0.757281553398058</v>
      </c>
      <c r="E10" s="51" t="inlineStr">
        <is>
          <t>ratio</t>
        </is>
      </c>
      <c r="F10" s="46" t="inlineStr">
        <is>
          <t>CBO via KFF Jun 4 2025: 7.8M uninsured / 10.3M fewer enrollees (House bill). Enacted-law cross-check ~0.68 (KFF Feb 2026: -11M enrollees, +7.5M uninsured)</t>
        </is>
      </c>
    </row>
    <row r="11" ht="23.25" customHeight="1" s="44">
      <c r="A11" s="48" t="inlineStr">
        <is>
          <t>Additional deaths per 1,000 uninsured person-years</t>
        </is>
      </c>
      <c r="B11" s="66" t="n">
        <v>1.2</v>
      </c>
      <c r="C11" s="66" t="n">
        <v>2.2</v>
      </c>
      <c r="D11" s="66" t="n">
        <v>3.6</v>
      </c>
      <c r="E11" s="51" t="inlineStr">
        <is>
          <t>deaths / 1,000 / year, adults 19-64</t>
        </is>
      </c>
      <c r="F11" s="46" t="inlineStr">
        <is>
          <t>Low: Sommers, Long &amp; Baicker 2014 (NNT 830). Central: Gaffney et al. 2025 implied (16,642/7.6M). High: Sommers 2017 (1 per 239-316)</t>
        </is>
      </c>
    </row>
    <row r="12" ht="15" customHeight="1" s="44">
      <c r="A12" s="63" t="n"/>
      <c r="B12" s="63" t="n"/>
      <c r="C12" s="63" t="n"/>
      <c r="D12" s="63" t="n"/>
      <c r="E12" s="63" t="n"/>
      <c r="F12" s="63" t="n"/>
    </row>
    <row r="13" ht="15" customHeight="1" s="44">
      <c r="A13" s="48" t="inlineStr">
        <is>
          <t>Calibration constant c (excess death rate of a person losing coverage ÷ Arizona age-specific death rate)</t>
        </is>
      </c>
      <c r="B13" s="66" t="n">
        <v>0.265041660395344</v>
      </c>
      <c r="C13" s="66" t="n">
        <v>0.485909710724798</v>
      </c>
      <c r="D13" s="66" t="n">
        <v>0.795124981186032</v>
      </c>
      <c r="E13" s="51" t="inlineStr">
        <is>
          <t>solved so statewide deaths per 1,000 uninsured equal the row above</t>
        </is>
      </c>
      <c r="F13" s="63" t="n"/>
    </row>
    <row r="14" ht="15" customHeight="1" s="44">
      <c r="A14" s="51" t="inlineStr">
        <is>
          <t>Note: near-term scenarios use the same death rates; c differs trivially (see assumptions.json).</t>
        </is>
      </c>
      <c r="B14" s="63" t="n"/>
      <c r="C14" s="63" t="n"/>
      <c r="D14" s="63" t="n"/>
      <c r="E14" s="63" t="n"/>
      <c r="F14" s="63"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S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43" min="1" max="1"/>
    <col width="12" customWidth="1" style="43" min="2" max="3"/>
    <col width="14" customWidth="1" style="43" min="4" max="5"/>
    <col width="12" customWidth="1" style="43" min="6" max="6"/>
    <col width="14" customWidth="1" style="43" min="7" max="10"/>
    <col width="16" customWidth="1" style="43" min="11" max="11"/>
    <col width="10" customWidth="1" style="43" min="12" max="16"/>
    <col width="12" customWidth="1" style="43" min="17" max="19"/>
  </cols>
  <sheetData>
    <row r="1" ht="45" customHeight="1" s="44">
      <c r="A1" s="50" t="inlineStr">
        <is>
          <t>LD</t>
        </is>
      </c>
      <c r="B1" s="50" t="inlineStr">
        <is>
          <t>Main county</t>
        </is>
      </c>
      <c r="C1" s="50" t="inlineStr">
        <is>
          <t>2020 population</t>
        </is>
      </c>
      <c r="D1" s="50" t="inlineStr">
        <is>
          <t>Adults 19-64 (ACS civ. noninst.)</t>
        </is>
      </c>
      <c r="E1" s="50" t="inlineStr">
        <is>
          <t>Expansion-adult key (calibrated count)</t>
        </is>
      </c>
      <c r="F1" s="50" t="inlineStr">
        <is>
          <t>Expansion-adult share</t>
        </is>
      </c>
      <c r="G1" s="50" t="inlineStr">
        <is>
          <t>Work-requirement key share (AIAN excluded)</t>
        </is>
      </c>
      <c r="H1" s="50" t="inlineStr">
        <is>
          <t>AIAN share of district expansion adults</t>
        </is>
      </c>
      <c r="I1" s="50" t="inlineStr">
        <is>
          <t>Adult (19-64) Medicaid key share</t>
        </is>
      </c>
      <c r="J1" s="50" t="inlineStr">
        <is>
          <t>Total Medicaid (all ages) key share</t>
        </is>
      </c>
      <c r="K1" s="50" t="inlineStr">
        <is>
          <t>Noncitizen (non-Mexico/Cuba/Haiti) public-coverage key share</t>
        </is>
      </c>
      <c r="L1" s="50" t="inlineStr">
        <is>
          <t>Age share 19-25</t>
        </is>
      </c>
      <c r="M1" s="50" t="inlineStr">
        <is>
          <t>Age share 26-34</t>
        </is>
      </c>
      <c r="N1" s="50" t="inlineStr">
        <is>
          <t>Age share 35-44</t>
        </is>
      </c>
      <c r="O1" s="50" t="inlineStr">
        <is>
          <t>Age share 45-54</t>
        </is>
      </c>
      <c r="P1" s="50" t="inlineStr">
        <is>
          <t>Age share 55-64</t>
        </is>
      </c>
      <c r="Q1" s="50" t="inlineStr">
        <is>
          <t>Death-rate factor vs state (low)</t>
        </is>
      </c>
      <c r="R1" s="50" t="inlineStr">
        <is>
          <t>Death-rate factor (central)</t>
        </is>
      </c>
      <c r="S1" s="50" t="inlineStr">
        <is>
          <t>Death-rate factor (high)</t>
        </is>
      </c>
    </row>
    <row r="2" ht="15" customHeight="1" s="44">
      <c r="A2" s="51" t="n">
        <v>1</v>
      </c>
      <c r="B2" s="51" t="inlineStr">
        <is>
          <t>Yavapai</t>
        </is>
      </c>
      <c r="C2" s="53" t="n">
        <v>237896</v>
      </c>
      <c r="D2" s="53" t="n">
        <v>120914</v>
      </c>
      <c r="E2" s="64" t="n">
        <v>12426.652388886</v>
      </c>
      <c r="F2" s="67" t="n">
        <v>0.0262442835586216</v>
      </c>
      <c r="G2" s="67" t="n">
        <v>0.0283138683449372</v>
      </c>
      <c r="H2" s="65" t="n">
        <v>0.0409466878473026</v>
      </c>
      <c r="I2" s="67" t="n">
        <v>0.027213962333778</v>
      </c>
      <c r="J2" s="67" t="n">
        <v>0.0270416393254353</v>
      </c>
      <c r="K2" s="67" t="n">
        <v>0.0188131430618212</v>
      </c>
      <c r="L2" s="65" t="n">
        <v>0.111384579485308</v>
      </c>
      <c r="M2" s="65" t="n">
        <v>0.172109583818849</v>
      </c>
      <c r="N2" s="65" t="n">
        <v>0.162652213364093</v>
      </c>
      <c r="O2" s="65" t="n">
        <v>0.180344262871282</v>
      </c>
      <c r="P2" s="65" t="n">
        <v>0.373509360460468</v>
      </c>
      <c r="Q2" s="66" t="n">
        <v>1.25631730968266</v>
      </c>
      <c r="R2" s="66" t="n">
        <v>1.25631730968266</v>
      </c>
      <c r="S2" s="66" t="n">
        <v>1.25631730968266</v>
      </c>
    </row>
    <row r="3" ht="15" customHeight="1" s="44">
      <c r="A3" s="51" t="n">
        <v>2</v>
      </c>
      <c r="B3" s="51" t="inlineStr">
        <is>
          <t>Maricopa</t>
        </is>
      </c>
      <c r="C3" s="53" t="n">
        <v>246674</v>
      </c>
      <c r="D3" s="53" t="n">
        <v>159876</v>
      </c>
      <c r="E3" s="64" t="n">
        <v>16489.0177199434</v>
      </c>
      <c r="F3" s="67" t="n">
        <v>0.0348237355566783</v>
      </c>
      <c r="G3" s="67" t="n">
        <v>0.0372603485614479</v>
      </c>
      <c r="H3" s="65" t="n">
        <v>0.0488477880394145</v>
      </c>
      <c r="I3" s="67" t="n">
        <v>0.0319414291588331</v>
      </c>
      <c r="J3" s="67" t="n">
        <v>0.0319532556094665</v>
      </c>
      <c r="K3" s="67" t="n">
        <v>0.0567664729800675</v>
      </c>
      <c r="L3" s="65" t="n">
        <v>0.125157704989383</v>
      </c>
      <c r="M3" s="65" t="n">
        <v>0.258502443258185</v>
      </c>
      <c r="N3" s="65" t="n">
        <v>0.203847335407769</v>
      </c>
      <c r="O3" s="65" t="n">
        <v>0.18999945354708</v>
      </c>
      <c r="P3" s="65" t="n">
        <v>0.222493062797583</v>
      </c>
      <c r="Q3" s="66" t="n">
        <v>0.996155196180434</v>
      </c>
      <c r="R3" s="66" t="n">
        <v>0.996155196180434</v>
      </c>
      <c r="S3" s="66" t="n">
        <v>0.996155196180433</v>
      </c>
    </row>
    <row r="4" ht="15" customHeight="1" s="44">
      <c r="A4" s="51" t="n">
        <v>3</v>
      </c>
      <c r="B4" s="51" t="inlineStr">
        <is>
          <t>Maricopa</t>
        </is>
      </c>
      <c r="C4" s="53" t="n">
        <v>236955</v>
      </c>
      <c r="D4" s="53" t="n">
        <v>125730</v>
      </c>
      <c r="E4" s="64" t="n">
        <v>4223.6725116111</v>
      </c>
      <c r="F4" s="67" t="n">
        <v>0.0089201222971856</v>
      </c>
      <c r="G4" s="67" t="n">
        <v>0.009489232190246499</v>
      </c>
      <c r="H4" s="65" t="n">
        <v>0.0543298574887829</v>
      </c>
      <c r="I4" s="67" t="n">
        <v>0.008990269714428401</v>
      </c>
      <c r="J4" s="67" t="n">
        <v>0.0108112065155412</v>
      </c>
      <c r="K4" s="67" t="n">
        <v>0.0325487937338741</v>
      </c>
      <c r="L4" s="65" t="n">
        <v>0.105094802736254</v>
      </c>
      <c r="M4" s="65" t="n">
        <v>0.180296374658867</v>
      </c>
      <c r="N4" s="65" t="n">
        <v>0.178301117939106</v>
      </c>
      <c r="O4" s="65" t="n">
        <v>0.20373386306191</v>
      </c>
      <c r="P4" s="65" t="n">
        <v>0.332573841603863</v>
      </c>
      <c r="Q4" s="66" t="n">
        <v>1.20198970048657</v>
      </c>
      <c r="R4" s="66" t="n">
        <v>1.20198970048657</v>
      </c>
      <c r="S4" s="66" t="n">
        <v>1.20198970048657</v>
      </c>
    </row>
    <row r="5" ht="15" customHeight="1" s="44">
      <c r="A5" s="51" t="n">
        <v>4</v>
      </c>
      <c r="B5" s="51" t="inlineStr">
        <is>
          <t>Maricopa</t>
        </is>
      </c>
      <c r="C5" s="53" t="n">
        <v>244298</v>
      </c>
      <c r="D5" s="53" t="n">
        <v>146554</v>
      </c>
      <c r="E5" s="64" t="n">
        <v>8221.98632997614</v>
      </c>
      <c r="F5" s="67" t="n">
        <v>0.0173643016563327</v>
      </c>
      <c r="G5" s="67" t="n">
        <v>0.0188398935577691</v>
      </c>
      <c r="H5" s="65" t="n">
        <v>0.0355063213969563</v>
      </c>
      <c r="I5" s="67" t="n">
        <v>0.0153477707056534</v>
      </c>
      <c r="J5" s="67" t="n">
        <v>0.0136897387831864</v>
      </c>
      <c r="K5" s="67" t="n">
        <v>0.0320814499533477</v>
      </c>
      <c r="L5" s="65" t="n">
        <v>0.103163944149632</v>
      </c>
      <c r="M5" s="65" t="n">
        <v>0.18769124199262</v>
      </c>
      <c r="N5" s="65" t="n">
        <v>0.2179305187574</v>
      </c>
      <c r="O5" s="65" t="n">
        <v>0.196569102420695</v>
      </c>
      <c r="P5" s="65" t="n">
        <v>0.294645192679654</v>
      </c>
      <c r="Q5" s="66" t="n">
        <v>1.13818585658176</v>
      </c>
      <c r="R5" s="66" t="n">
        <v>1.13818585658176</v>
      </c>
      <c r="S5" s="66" t="n">
        <v>1.13818585658176</v>
      </c>
    </row>
    <row r="6" ht="15" customHeight="1" s="44">
      <c r="A6" s="51" t="n">
        <v>5</v>
      </c>
      <c r="B6" s="51" t="inlineStr">
        <is>
          <t>Maricopa</t>
        </is>
      </c>
      <c r="C6" s="53" t="n">
        <v>239088</v>
      </c>
      <c r="D6" s="53" t="n">
        <v>159734</v>
      </c>
      <c r="E6" s="64" t="n">
        <v>18566.0895225415</v>
      </c>
      <c r="F6" s="67" t="n">
        <v>0.039210376435742</v>
      </c>
      <c r="G6" s="67" t="n">
        <v>0.0405381739586256</v>
      </c>
      <c r="H6" s="65" t="n">
        <v>0.0812994135577732</v>
      </c>
      <c r="I6" s="67" t="n">
        <v>0.0403908591784452</v>
      </c>
      <c r="J6" s="67" t="n">
        <v>0.037578141192518</v>
      </c>
      <c r="K6" s="67" t="n">
        <v>0.0401013087816805</v>
      </c>
      <c r="L6" s="65" t="n">
        <v>0.140205973004781</v>
      </c>
      <c r="M6" s="65" t="n">
        <v>0.25617104456413</v>
      </c>
      <c r="N6" s="65" t="n">
        <v>0.198694325401484</v>
      </c>
      <c r="O6" s="65" t="n">
        <v>0.188468748232022</v>
      </c>
      <c r="P6" s="65" t="n">
        <v>0.216459908797583</v>
      </c>
      <c r="Q6" s="66" t="n">
        <v>0.980153458914196</v>
      </c>
      <c r="R6" s="66" t="n">
        <v>0.980153458914195</v>
      </c>
      <c r="S6" s="66" t="n">
        <v>0.980153458914195</v>
      </c>
    </row>
    <row r="7" ht="15" customHeight="1" s="44">
      <c r="A7" s="51" t="n">
        <v>6</v>
      </c>
      <c r="B7" s="51" t="inlineStr">
        <is>
          <t>Coconino</t>
        </is>
      </c>
      <c r="C7" s="53" t="n">
        <v>225474</v>
      </c>
      <c r="D7" s="53" t="n">
        <v>125803</v>
      </c>
      <c r="E7" s="64" t="n">
        <v>30903.343306119</v>
      </c>
      <c r="F7" s="67" t="n">
        <v>0.0652658559404611</v>
      </c>
      <c r="G7" s="67" t="n">
        <v>0.0189489607259447</v>
      </c>
      <c r="H7" s="65" t="n">
        <v>0.741906171234876</v>
      </c>
      <c r="I7" s="67" t="n">
        <v>0.0536755970805298</v>
      </c>
      <c r="J7" s="67" t="n">
        <v>0.050086374810415</v>
      </c>
      <c r="K7" s="67" t="n">
        <v>0.009861927774470499</v>
      </c>
      <c r="L7" s="65" t="n">
        <v>0.168944185220504</v>
      </c>
      <c r="M7" s="65" t="n">
        <v>0.235941617137921</v>
      </c>
      <c r="N7" s="65" t="n">
        <v>0.206003323962448</v>
      </c>
      <c r="O7" s="65" t="n">
        <v>0.162812656625384</v>
      </c>
      <c r="P7" s="65" t="n">
        <v>0.226298217053743</v>
      </c>
      <c r="Q7" s="66" t="n">
        <v>0.977576407399196</v>
      </c>
      <c r="R7" s="66" t="n">
        <v>0.977576407399196</v>
      </c>
      <c r="S7" s="66" t="n">
        <v>0.977576407399195</v>
      </c>
    </row>
    <row r="8" ht="15" customHeight="1" s="44">
      <c r="A8" s="51" t="n">
        <v>7</v>
      </c>
      <c r="B8" s="51" t="inlineStr">
        <is>
          <t>Pinal</t>
        </is>
      </c>
      <c r="C8" s="53" t="n">
        <v>240214</v>
      </c>
      <c r="D8" s="53" t="n">
        <v>128337</v>
      </c>
      <c r="E8" s="64" t="n">
        <v>13941.7255559746</v>
      </c>
      <c r="F8" s="67" t="n">
        <v>0.0294440197840185</v>
      </c>
      <c r="G8" s="67" t="n">
        <v>0.0295223949164987</v>
      </c>
      <c r="H8" s="65" t="n">
        <v>0.108521143327271</v>
      </c>
      <c r="I8" s="67" t="n">
        <v>0.0273811346603451</v>
      </c>
      <c r="J8" s="67" t="n">
        <v>0.0281493245154649</v>
      </c>
      <c r="K8" s="67" t="n">
        <v>0.0186805762377316</v>
      </c>
      <c r="L8" s="65" t="n">
        <v>0.158850856074648</v>
      </c>
      <c r="M8" s="65" t="n">
        <v>0.176195181170608</v>
      </c>
      <c r="N8" s="65" t="n">
        <v>0.185394071825151</v>
      </c>
      <c r="O8" s="65" t="n">
        <v>0.174791833843586</v>
      </c>
      <c r="P8" s="65" t="n">
        <v>0.304768057086006</v>
      </c>
      <c r="Q8" s="66" t="n">
        <v>1.12432528536027</v>
      </c>
      <c r="R8" s="66" t="n">
        <v>1.12432528536027</v>
      </c>
      <c r="S8" s="66" t="n">
        <v>1.12432528536027</v>
      </c>
    </row>
    <row r="9" ht="15" customHeight="1" s="44">
      <c r="A9" s="51" t="n">
        <v>8</v>
      </c>
      <c r="B9" s="51" t="inlineStr">
        <is>
          <t>Maricopa</t>
        </is>
      </c>
      <c r="C9" s="53" t="n">
        <v>244166</v>
      </c>
      <c r="D9" s="53" t="n">
        <v>181692</v>
      </c>
      <c r="E9" s="64" t="n">
        <v>16541.3434567352</v>
      </c>
      <c r="F9" s="67" t="n">
        <v>0.0349342441176972</v>
      </c>
      <c r="G9" s="67" t="n">
        <v>0.0340461834240213</v>
      </c>
      <c r="H9" s="65" t="n">
        <v>0.131266305506592</v>
      </c>
      <c r="I9" s="67" t="n">
        <v>0.0338698466116295</v>
      </c>
      <c r="J9" s="67" t="n">
        <v>0.0300227079055288</v>
      </c>
      <c r="K9" s="67" t="n">
        <v>0.0501462363271758</v>
      </c>
      <c r="L9" s="65" t="n">
        <v>0.212705053397852</v>
      </c>
      <c r="M9" s="65" t="n">
        <v>0.26342047518833</v>
      </c>
      <c r="N9" s="65" t="n">
        <v>0.193358767180442</v>
      </c>
      <c r="O9" s="65" t="n">
        <v>0.143725186225722</v>
      </c>
      <c r="P9" s="65" t="n">
        <v>0.186790518007655</v>
      </c>
      <c r="Q9" s="66" t="n">
        <v>0.882583688404627</v>
      </c>
      <c r="R9" s="66" t="n">
        <v>0.882583688404626</v>
      </c>
      <c r="S9" s="66" t="n">
        <v>0.882583688404626</v>
      </c>
    </row>
    <row r="10" ht="15" customHeight="1" s="44">
      <c r="A10" s="51" t="n">
        <v>9</v>
      </c>
      <c r="B10" s="51" t="inlineStr">
        <is>
          <t>Maricopa</t>
        </is>
      </c>
      <c r="C10" s="53" t="n">
        <v>238117</v>
      </c>
      <c r="D10" s="53" t="n">
        <v>147383</v>
      </c>
      <c r="E10" s="64" t="n">
        <v>18277.5375826841</v>
      </c>
      <c r="F10" s="67" t="n">
        <v>0.0386009734610695</v>
      </c>
      <c r="G10" s="67" t="n">
        <v>0.0395584661498646</v>
      </c>
      <c r="H10" s="65" t="n">
        <v>0.088997750406781</v>
      </c>
      <c r="I10" s="67" t="n">
        <v>0.0407053742786953</v>
      </c>
      <c r="J10" s="67" t="n">
        <v>0.0408725024179544</v>
      </c>
      <c r="K10" s="67" t="n">
        <v>0.0318783035390062</v>
      </c>
      <c r="L10" s="65" t="n">
        <v>0.173432431625269</v>
      </c>
      <c r="M10" s="65" t="n">
        <v>0.25030762733474</v>
      </c>
      <c r="N10" s="65" t="n">
        <v>0.217407763083475</v>
      </c>
      <c r="O10" s="65" t="n">
        <v>0.166194179422557</v>
      </c>
      <c r="P10" s="65" t="n">
        <v>0.192657998533959</v>
      </c>
      <c r="Q10" s="66" t="n">
        <v>0.9206248328736421</v>
      </c>
      <c r="R10" s="66" t="n">
        <v>0.9206248328736421</v>
      </c>
      <c r="S10" s="66" t="n">
        <v>0.9206248328736421</v>
      </c>
    </row>
    <row r="11" ht="15" customHeight="1" s="44">
      <c r="A11" s="51" t="n">
        <v>10</v>
      </c>
      <c r="B11" s="51" t="inlineStr">
        <is>
          <t>Maricopa</t>
        </is>
      </c>
      <c r="C11" s="53" t="n">
        <v>235579</v>
      </c>
      <c r="D11" s="53" t="n">
        <v>127492</v>
      </c>
      <c r="E11" s="64" t="n">
        <v>9979.592350417201</v>
      </c>
      <c r="F11" s="67" t="n">
        <v>0.0210762515315904</v>
      </c>
      <c r="G11" s="67" t="n">
        <v>0.0226526885074738</v>
      </c>
      <c r="H11" s="65" t="n">
        <v>0.044592054003046</v>
      </c>
      <c r="I11" s="67" t="n">
        <v>0.0249516826068639</v>
      </c>
      <c r="J11" s="67" t="n">
        <v>0.0249138552783629</v>
      </c>
      <c r="K11" s="67" t="n">
        <v>0.0399332466348853</v>
      </c>
      <c r="L11" s="65" t="n">
        <v>0.114963946013878</v>
      </c>
      <c r="M11" s="65" t="n">
        <v>0.1815954271375</v>
      </c>
      <c r="N11" s="65" t="n">
        <v>0.169821599802927</v>
      </c>
      <c r="O11" s="65" t="n">
        <v>0.190037562608714</v>
      </c>
      <c r="P11" s="65" t="n">
        <v>0.343581464436981</v>
      </c>
      <c r="Q11" s="66" t="n">
        <v>1.20931496978411</v>
      </c>
      <c r="R11" s="66" t="n">
        <v>1.20931496978411</v>
      </c>
      <c r="S11" s="66" t="n">
        <v>1.20931496978411</v>
      </c>
    </row>
    <row r="12" ht="15" customHeight="1" s="44">
      <c r="A12" s="51" t="n">
        <v>11</v>
      </c>
      <c r="B12" s="51" t="inlineStr">
        <is>
          <t>Maricopa</t>
        </is>
      </c>
      <c r="C12" s="53" t="n">
        <v>237844</v>
      </c>
      <c r="D12" s="53" t="n">
        <v>143724</v>
      </c>
      <c r="E12" s="64" t="n">
        <v>21846.9386550338</v>
      </c>
      <c r="F12" s="67" t="n">
        <v>0.0461393169300616</v>
      </c>
      <c r="G12" s="67" t="n">
        <v>0.0475838632834937</v>
      </c>
      <c r="H12" s="65" t="n">
        <v>0.08321647334355591</v>
      </c>
      <c r="I12" s="67" t="n">
        <v>0.0475733804490965</v>
      </c>
      <c r="J12" s="67" t="n">
        <v>0.04968073743087</v>
      </c>
      <c r="K12" s="67" t="n">
        <v>0.0401436275096686</v>
      </c>
      <c r="L12" s="65" t="n">
        <v>0.200065435947148</v>
      </c>
      <c r="M12" s="65" t="n">
        <v>0.208516432926053</v>
      </c>
      <c r="N12" s="65" t="n">
        <v>0.216260539327145</v>
      </c>
      <c r="O12" s="65" t="n">
        <v>0.170966026170739</v>
      </c>
      <c r="P12" s="65" t="n">
        <v>0.204191565628915</v>
      </c>
      <c r="Q12" s="66" t="n">
        <v>0.938976266090004</v>
      </c>
      <c r="R12" s="66" t="n">
        <v>0.938976266090004</v>
      </c>
      <c r="S12" s="66" t="n">
        <v>0.938976266090003</v>
      </c>
    </row>
    <row r="13" ht="15" customHeight="1" s="44">
      <c r="A13" s="51" t="n">
        <v>12</v>
      </c>
      <c r="B13" s="51" t="inlineStr">
        <is>
          <t>Maricopa</t>
        </is>
      </c>
      <c r="C13" s="53" t="n">
        <v>238923</v>
      </c>
      <c r="D13" s="53" t="n">
        <v>155532</v>
      </c>
      <c r="E13" s="64" t="n">
        <v>8755.06508886142</v>
      </c>
      <c r="F13" s="67" t="n">
        <v>0.0184901294069968</v>
      </c>
      <c r="G13" s="67" t="n">
        <v>0.0178513040380297</v>
      </c>
      <c r="H13" s="65" t="n">
        <v>0.141721591341153</v>
      </c>
      <c r="I13" s="67" t="n">
        <v>0.0194505375514258</v>
      </c>
      <c r="J13" s="67" t="n">
        <v>0.0188489438138984</v>
      </c>
      <c r="K13" s="67" t="n">
        <v>0.0331049806352419</v>
      </c>
      <c r="L13" s="65" t="n">
        <v>0.131612924430368</v>
      </c>
      <c r="M13" s="65" t="n">
        <v>0.233496766418486</v>
      </c>
      <c r="N13" s="65" t="n">
        <v>0.240000394830735</v>
      </c>
      <c r="O13" s="65" t="n">
        <v>0.185087166268697</v>
      </c>
      <c r="P13" s="65" t="n">
        <v>0.209802748051713</v>
      </c>
      <c r="Q13" s="66" t="n">
        <v>0.976941906257452</v>
      </c>
      <c r="R13" s="66" t="n">
        <v>0.976941906257451</v>
      </c>
      <c r="S13" s="66" t="n">
        <v>0.976941906257451</v>
      </c>
    </row>
    <row r="14" ht="15" customHeight="1" s="44">
      <c r="A14" s="51" t="n">
        <v>13</v>
      </c>
      <c r="B14" s="51" t="inlineStr">
        <is>
          <t>Maricopa</t>
        </is>
      </c>
      <c r="C14" s="53" t="n">
        <v>237866</v>
      </c>
      <c r="D14" s="53" t="n">
        <v>139841</v>
      </c>
      <c r="E14" s="64" t="n">
        <v>7849.33225113701</v>
      </c>
      <c r="F14" s="67" t="n">
        <v>0.0165772804209856</v>
      </c>
      <c r="G14" s="67" t="n">
        <v>0.0171690737908662</v>
      </c>
      <c r="H14" s="65" t="n">
        <v>0.0794197707913343</v>
      </c>
      <c r="I14" s="67" t="n">
        <v>0.0171852011597525</v>
      </c>
      <c r="J14" s="67" t="n">
        <v>0.0177486410115516</v>
      </c>
      <c r="K14" s="67" t="n">
        <v>0.0398446421817841</v>
      </c>
      <c r="L14" s="65" t="n">
        <v>0.195936790445006</v>
      </c>
      <c r="M14" s="65" t="n">
        <v>0.197554199905907</v>
      </c>
      <c r="N14" s="65" t="n">
        <v>0.18440398790827</v>
      </c>
      <c r="O14" s="65" t="n">
        <v>0.206025089175653</v>
      </c>
      <c r="P14" s="65" t="n">
        <v>0.216079932565165</v>
      </c>
      <c r="Q14" s="66" t="n">
        <v>0.976413591173071</v>
      </c>
      <c r="R14" s="66" t="n">
        <v>0.976413591173071</v>
      </c>
      <c r="S14" s="66" t="n">
        <v>0.97641359117307</v>
      </c>
    </row>
    <row r="15" ht="15" customHeight="1" s="44">
      <c r="A15" s="51" t="n">
        <v>14</v>
      </c>
      <c r="B15" s="51" t="inlineStr">
        <is>
          <t>Maricopa</t>
        </is>
      </c>
      <c r="C15" s="53" t="n">
        <v>241692</v>
      </c>
      <c r="D15" s="53" t="n">
        <v>150287</v>
      </c>
      <c r="E15" s="64" t="n">
        <v>6956.72528325115</v>
      </c>
      <c r="F15" s="67" t="n">
        <v>0.0146921524204189</v>
      </c>
      <c r="G15" s="67" t="n">
        <v>0.0155137663549125</v>
      </c>
      <c r="H15" s="65" t="n">
        <v>0.0613361685602086</v>
      </c>
      <c r="I15" s="67" t="n">
        <v>0.0149453526358326</v>
      </c>
      <c r="J15" s="67" t="n">
        <v>0.0158388207977656</v>
      </c>
      <c r="K15" s="67" t="n">
        <v>0.0317236669557732</v>
      </c>
      <c r="L15" s="65" t="n">
        <v>0.131168115560913</v>
      </c>
      <c r="M15" s="65" t="n">
        <v>0.235751204779902</v>
      </c>
      <c r="N15" s="65" t="n">
        <v>0.261626597263279</v>
      </c>
      <c r="O15" s="65" t="n">
        <v>0.194755600808255</v>
      </c>
      <c r="P15" s="65" t="n">
        <v>0.176698481587652</v>
      </c>
      <c r="Q15" s="66" t="n">
        <v>0.928224008172802</v>
      </c>
      <c r="R15" s="66" t="n">
        <v>0.928224008172802</v>
      </c>
      <c r="S15" s="66" t="n">
        <v>0.928224008172801</v>
      </c>
    </row>
    <row r="16" ht="15" customHeight="1" s="44">
      <c r="A16" s="51" t="n">
        <v>15</v>
      </c>
      <c r="B16" s="51" t="inlineStr">
        <is>
          <t>Maricopa</t>
        </is>
      </c>
      <c r="C16" s="53" t="n">
        <v>240028</v>
      </c>
      <c r="D16" s="53" t="n">
        <v>151814</v>
      </c>
      <c r="E16" s="64" t="n">
        <v>8858.999928526229</v>
      </c>
      <c r="F16" s="67" t="n">
        <v>0.0187096330446959</v>
      </c>
      <c r="G16" s="67" t="n">
        <v>0.0199915739856843</v>
      </c>
      <c r="H16" s="65" t="n">
        <v>0.0501392007706077</v>
      </c>
      <c r="I16" s="67" t="n">
        <v>0.0202051321207226</v>
      </c>
      <c r="J16" s="67" t="n">
        <v>0.0213881160485661</v>
      </c>
      <c r="K16" s="67" t="n">
        <v>0.0159465247248171</v>
      </c>
      <c r="L16" s="65" t="n">
        <v>0.11191408559439</v>
      </c>
      <c r="M16" s="65" t="n">
        <v>0.21553618400702</v>
      </c>
      <c r="N16" s="65" t="n">
        <v>0.231232961620023</v>
      </c>
      <c r="O16" s="65" t="n">
        <v>0.207080998152382</v>
      </c>
      <c r="P16" s="65" t="n">
        <v>0.234235770626184</v>
      </c>
      <c r="Q16" s="66" t="n">
        <v>1.03699121143605</v>
      </c>
      <c r="R16" s="66" t="n">
        <v>1.03699121143605</v>
      </c>
      <c r="S16" s="66" t="n">
        <v>1.03699121143605</v>
      </c>
    </row>
    <row r="17" ht="15" customHeight="1" s="44">
      <c r="A17" s="51" t="n">
        <v>16</v>
      </c>
      <c r="B17" s="51" t="inlineStr">
        <is>
          <t>Pinal</t>
        </is>
      </c>
      <c r="C17" s="53" t="n">
        <v>236940</v>
      </c>
      <c r="D17" s="53" t="n">
        <v>141828</v>
      </c>
      <c r="E17" s="64" t="n">
        <v>16848.2753963836</v>
      </c>
      <c r="F17" s="67" t="n">
        <v>0.0355824644593666</v>
      </c>
      <c r="G17" s="67" t="n">
        <v>0.0328682554699825</v>
      </c>
      <c r="H17" s="65" t="n">
        <v>0.176282588596059</v>
      </c>
      <c r="I17" s="67" t="n">
        <v>0.0358743024740247</v>
      </c>
      <c r="J17" s="67" t="n">
        <v>0.0370961834335407</v>
      </c>
      <c r="K17" s="67" t="n">
        <v>0.0244539345121933</v>
      </c>
      <c r="L17" s="65" t="n">
        <v>0.149715445083482</v>
      </c>
      <c r="M17" s="65" t="n">
        <v>0.220714977660933</v>
      </c>
      <c r="N17" s="65" t="n">
        <v>0.219896565682481</v>
      </c>
      <c r="O17" s="65" t="n">
        <v>0.182771848651142</v>
      </c>
      <c r="P17" s="65" t="n">
        <v>0.226901162921963</v>
      </c>
      <c r="Q17" s="66" t="n">
        <v>0.998272468658462</v>
      </c>
      <c r="R17" s="66" t="n">
        <v>0.998272468658462</v>
      </c>
      <c r="S17" s="66" t="n">
        <v>0.998272468658462</v>
      </c>
    </row>
    <row r="18" ht="15" customHeight="1" s="44">
      <c r="A18" s="51" t="n">
        <v>17</v>
      </c>
      <c r="B18" s="51" t="inlineStr">
        <is>
          <t>Pima</t>
        </is>
      </c>
      <c r="C18" s="53" t="n">
        <v>239669</v>
      </c>
      <c r="D18" s="53" t="n">
        <v>127062</v>
      </c>
      <c r="E18" s="64" t="n">
        <v>8667.87739328006</v>
      </c>
      <c r="F18" s="67" t="n">
        <v>0.0183059946509859</v>
      </c>
      <c r="G18" s="67" t="n">
        <v>0.019772947078405</v>
      </c>
      <c r="H18" s="65" t="n">
        <v>0.039687665060086</v>
      </c>
      <c r="I18" s="67" t="n">
        <v>0.018456483007487</v>
      </c>
      <c r="J18" s="67" t="n">
        <v>0.0179656795124099</v>
      </c>
      <c r="K18" s="67" t="n">
        <v>0.0168944344837391</v>
      </c>
      <c r="L18" s="65" t="n">
        <v>0.13485299927581</v>
      </c>
      <c r="M18" s="65" t="n">
        <v>0.189925955246877</v>
      </c>
      <c r="N18" s="65" t="n">
        <v>0.209807963960523</v>
      </c>
      <c r="O18" s="65" t="n">
        <v>0.18482050079269</v>
      </c>
      <c r="P18" s="65" t="n">
        <v>0.2805925807241</v>
      </c>
      <c r="Q18" s="66" t="n">
        <v>1.09724559490602</v>
      </c>
      <c r="R18" s="66" t="n">
        <v>1.09724559490602</v>
      </c>
      <c r="S18" s="66" t="n">
        <v>1.09724559490602</v>
      </c>
    </row>
    <row r="19" ht="15" customHeight="1" s="44">
      <c r="A19" s="51" t="n">
        <v>18</v>
      </c>
      <c r="B19" s="51" t="inlineStr">
        <is>
          <t>Pima</t>
        </is>
      </c>
      <c r="C19" s="53" t="n">
        <v>243411</v>
      </c>
      <c r="D19" s="53" t="n">
        <v>137612</v>
      </c>
      <c r="E19" s="64" t="n">
        <v>15317.2164874534</v>
      </c>
      <c r="F19" s="67" t="n">
        <v>0.0323489673844138</v>
      </c>
      <c r="G19" s="67" t="n">
        <v>0.0351514925834194</v>
      </c>
      <c r="H19" s="65" t="n">
        <v>0.0340351668595277</v>
      </c>
      <c r="I19" s="67" t="n">
        <v>0.0319279634102686</v>
      </c>
      <c r="J19" s="67" t="n">
        <v>0.0268358657257015</v>
      </c>
      <c r="K19" s="67" t="n">
        <v>0.0342684015794447</v>
      </c>
      <c r="L19" s="65" t="n">
        <v>0.140759492550962</v>
      </c>
      <c r="M19" s="65" t="n">
        <v>0.245176470747338</v>
      </c>
      <c r="N19" s="65" t="n">
        <v>0.177731536383353</v>
      </c>
      <c r="O19" s="65" t="n">
        <v>0.184592114252707</v>
      </c>
      <c r="P19" s="65" t="n">
        <v>0.25174038606564</v>
      </c>
      <c r="Q19" s="66" t="n">
        <v>1.03661287275865</v>
      </c>
      <c r="R19" s="66" t="n">
        <v>1.03661287275865</v>
      </c>
      <c r="S19" s="66" t="n">
        <v>1.03661287275865</v>
      </c>
    </row>
    <row r="20" ht="15" customHeight="1" s="44">
      <c r="A20" s="51" t="n">
        <v>19</v>
      </c>
      <c r="B20" s="51" t="inlineStr">
        <is>
          <t>Cochise</t>
        </is>
      </c>
      <c r="C20" s="53" t="n">
        <v>230476</v>
      </c>
      <c r="D20" s="53" t="n">
        <v>108016</v>
      </c>
      <c r="E20" s="64" t="n">
        <v>14588.2292506181</v>
      </c>
      <c r="F20" s="67" t="n">
        <v>0.0308093936395788</v>
      </c>
      <c r="G20" s="67" t="n">
        <v>0.0336995910820012</v>
      </c>
      <c r="H20" s="65" t="n">
        <v>0.0274737629780592</v>
      </c>
      <c r="I20" s="67" t="n">
        <v>0.032403627523595</v>
      </c>
      <c r="J20" s="67" t="n">
        <v>0.032044032967992</v>
      </c>
      <c r="K20" s="67" t="n">
        <v>0.0179823491139249</v>
      </c>
      <c r="L20" s="65" t="n">
        <v>0.120846135205922</v>
      </c>
      <c r="M20" s="65" t="n">
        <v>0.193178132534315</v>
      </c>
      <c r="N20" s="65" t="n">
        <v>0.232580255634566</v>
      </c>
      <c r="O20" s="65" t="n">
        <v>0.192046598487385</v>
      </c>
      <c r="P20" s="65" t="n">
        <v>0.261348878137811</v>
      </c>
      <c r="Q20" s="66" t="n">
        <v>1.07495143443482</v>
      </c>
      <c r="R20" s="66" t="n">
        <v>1.07495143443482</v>
      </c>
      <c r="S20" s="66" t="n">
        <v>1.07495143443482</v>
      </c>
    </row>
    <row r="21" ht="15" customHeight="1" s="44">
      <c r="A21" s="51" t="n">
        <v>20</v>
      </c>
      <c r="B21" s="51" t="inlineStr">
        <is>
          <t>Pima</t>
        </is>
      </c>
      <c r="C21" s="53" t="n">
        <v>238486</v>
      </c>
      <c r="D21" s="53" t="n">
        <v>151243</v>
      </c>
      <c r="E21" s="64" t="n">
        <v>23166.8711193112</v>
      </c>
      <c r="F21" s="67" t="n">
        <v>0.0489269286525644</v>
      </c>
      <c r="G21" s="67" t="n">
        <v>0.0505011336131631</v>
      </c>
      <c r="H21" s="65" t="n">
        <v>0.0825884067516328</v>
      </c>
      <c r="I21" s="67" t="n">
        <v>0.0503112537169371</v>
      </c>
      <c r="J21" s="67" t="n">
        <v>0.0471384053849266</v>
      </c>
      <c r="K21" s="67" t="n">
        <v>0.0258572391694842</v>
      </c>
      <c r="L21" s="65" t="n">
        <v>0.215651501176582</v>
      </c>
      <c r="M21" s="65" t="n">
        <v>0.213556966325173</v>
      </c>
      <c r="N21" s="65" t="n">
        <v>0.203729408085261</v>
      </c>
      <c r="O21" s="65" t="n">
        <v>0.149493397077722</v>
      </c>
      <c r="P21" s="65" t="n">
        <v>0.217568727335263</v>
      </c>
      <c r="Q21" s="66" t="n">
        <v>0.943599338203689</v>
      </c>
      <c r="R21" s="66" t="n">
        <v>0.943599338203688</v>
      </c>
      <c r="S21" s="66" t="n">
        <v>0.943599338203688</v>
      </c>
    </row>
    <row r="22" ht="15" customHeight="1" s="44">
      <c r="A22" s="51" t="n">
        <v>21</v>
      </c>
      <c r="B22" s="51" t="inlineStr">
        <is>
          <t>Pima</t>
        </is>
      </c>
      <c r="C22" s="53" t="n">
        <v>244412</v>
      </c>
      <c r="D22" s="53" t="n">
        <v>136691</v>
      </c>
      <c r="E22" s="64" t="n">
        <v>24550.3296224162</v>
      </c>
      <c r="F22" s="67" t="n">
        <v>0.0518487032472693</v>
      </c>
      <c r="G22" s="67" t="n">
        <v>0.0561933590527942</v>
      </c>
      <c r="H22" s="65" t="n">
        <v>0.0366008293856338</v>
      </c>
      <c r="I22" s="67" t="n">
        <v>0.0492507285305262</v>
      </c>
      <c r="J22" s="67" t="n">
        <v>0.0499352626416604</v>
      </c>
      <c r="K22" s="67" t="n">
        <v>0.017623118178166</v>
      </c>
      <c r="L22" s="65" t="n">
        <v>0.203069080871419</v>
      </c>
      <c r="M22" s="65" t="n">
        <v>0.213484568077688</v>
      </c>
      <c r="N22" s="65" t="n">
        <v>0.228016127260948</v>
      </c>
      <c r="O22" s="65" t="n">
        <v>0.162244593771947</v>
      </c>
      <c r="P22" s="65" t="n">
        <v>0.193185630017998</v>
      </c>
      <c r="Q22" s="66" t="n">
        <v>0.915591891919129</v>
      </c>
      <c r="R22" s="66" t="n">
        <v>0.915591891919129</v>
      </c>
      <c r="S22" s="66" t="n">
        <v>0.915591891919129</v>
      </c>
    </row>
    <row r="23" ht="15" customHeight="1" s="44">
      <c r="A23" s="51" t="n">
        <v>22</v>
      </c>
      <c r="B23" s="51" t="inlineStr">
        <is>
          <t>Maricopa</t>
        </is>
      </c>
      <c r="C23" s="53" t="n">
        <v>238320</v>
      </c>
      <c r="D23" s="53" t="n">
        <v>159008</v>
      </c>
      <c r="E23" s="64" t="n">
        <v>20108.7981537617</v>
      </c>
      <c r="F23" s="67" t="n">
        <v>0.0424684769682948</v>
      </c>
      <c r="G23" s="67" t="n">
        <v>0.045164729566123</v>
      </c>
      <c r="H23" s="65" t="n">
        <v>0.0544704382209728</v>
      </c>
      <c r="I23" s="67" t="n">
        <v>0.0449476492585081</v>
      </c>
      <c r="J23" s="67" t="n">
        <v>0.0469588225033366</v>
      </c>
      <c r="K23" s="67" t="n">
        <v>0.0331162388454156</v>
      </c>
      <c r="L23" s="65" t="n">
        <v>0.190959274757272</v>
      </c>
      <c r="M23" s="65" t="n">
        <v>0.247901247222405</v>
      </c>
      <c r="N23" s="65" t="n">
        <v>0.204114660808589</v>
      </c>
      <c r="O23" s="65" t="n">
        <v>0.173718190439721</v>
      </c>
      <c r="P23" s="65" t="n">
        <v>0.183306626772013</v>
      </c>
      <c r="Q23" s="66" t="n">
        <v>0.902069785547668</v>
      </c>
      <c r="R23" s="66" t="n">
        <v>0.902069785547668</v>
      </c>
      <c r="S23" s="66" t="n">
        <v>0.902069785547668</v>
      </c>
    </row>
    <row r="24" ht="15" customHeight="1" s="44">
      <c r="A24" s="51" t="n">
        <v>23</v>
      </c>
      <c r="B24" s="51" t="inlineStr">
        <is>
          <t>Yuma</t>
        </is>
      </c>
      <c r="C24" s="53" t="n">
        <v>232246</v>
      </c>
      <c r="D24" s="53" t="n">
        <v>134528</v>
      </c>
      <c r="E24" s="64" t="n">
        <v>22710.5518440025</v>
      </c>
      <c r="F24" s="67" t="n">
        <v>0.0479632119507778</v>
      </c>
      <c r="G24" s="67" t="n">
        <v>0.0490873618984827</v>
      </c>
      <c r="H24" s="65" t="n">
        <v>0.0912430783868107</v>
      </c>
      <c r="I24" s="67" t="n">
        <v>0.0480531316047406</v>
      </c>
      <c r="J24" s="67" t="n">
        <v>0.0496448239831938</v>
      </c>
      <c r="K24" s="67" t="n">
        <v>0.0174495634137676</v>
      </c>
      <c r="L24" s="65" t="n">
        <v>0.173756828758215</v>
      </c>
      <c r="M24" s="65" t="n">
        <v>0.216026395081479</v>
      </c>
      <c r="N24" s="65" t="n">
        <v>0.235260743574741</v>
      </c>
      <c r="O24" s="65" t="n">
        <v>0.183867068497419</v>
      </c>
      <c r="P24" s="65" t="n">
        <v>0.191088964088146</v>
      </c>
      <c r="Q24" s="66" t="n">
        <v>0.932968840818174</v>
      </c>
      <c r="R24" s="66" t="n">
        <v>0.932968840818173</v>
      </c>
      <c r="S24" s="66" t="n">
        <v>0.932968840818173</v>
      </c>
    </row>
    <row r="25" ht="15" customHeight="1" s="44">
      <c r="A25" s="51" t="n">
        <v>24</v>
      </c>
      <c r="B25" s="51" t="inlineStr">
        <is>
          <t>Maricopa</t>
        </is>
      </c>
      <c r="C25" s="53" t="n">
        <v>234992</v>
      </c>
      <c r="D25" s="53" t="n">
        <v>140681</v>
      </c>
      <c r="E25" s="64" t="n">
        <v>26761.1608915481</v>
      </c>
      <c r="F25" s="67" t="n">
        <v>0.0565178354408485</v>
      </c>
      <c r="G25" s="67" t="n">
        <v>0.0610138407874046</v>
      </c>
      <c r="H25" s="65" t="n">
        <v>0.0401623116877685</v>
      </c>
      <c r="I25" s="67" t="n">
        <v>0.0575555440460671</v>
      </c>
      <c r="J25" s="67" t="n">
        <v>0.0606735045441485</v>
      </c>
      <c r="K25" s="67" t="n">
        <v>0.052485845590946</v>
      </c>
      <c r="L25" s="65" t="n">
        <v>0.207128654976328</v>
      </c>
      <c r="M25" s="65" t="n">
        <v>0.232337530096533</v>
      </c>
      <c r="N25" s="65" t="n">
        <v>0.213865483988789</v>
      </c>
      <c r="O25" s="65" t="n">
        <v>0.173870989328587</v>
      </c>
      <c r="P25" s="65" t="n">
        <v>0.172797341609764</v>
      </c>
      <c r="Q25" s="66" t="n">
        <v>0.882174410050372</v>
      </c>
      <c r="R25" s="66" t="n">
        <v>0.882174410050371</v>
      </c>
      <c r="S25" s="66" t="n">
        <v>0.882174410050371</v>
      </c>
    </row>
    <row r="26" ht="15" customHeight="1" s="44">
      <c r="A26" s="51" t="n">
        <v>25</v>
      </c>
      <c r="B26" s="51" t="inlineStr">
        <is>
          <t>Maricopa</t>
        </is>
      </c>
      <c r="C26" s="53" t="n">
        <v>243005</v>
      </c>
      <c r="D26" s="53" t="n">
        <v>136757</v>
      </c>
      <c r="E26" s="64" t="n">
        <v>14112.1658048858</v>
      </c>
      <c r="F26" s="67" t="n">
        <v>0.0298039785309314</v>
      </c>
      <c r="G26" s="67" t="n">
        <v>0.0321645794284777</v>
      </c>
      <c r="H26" s="65" t="n">
        <v>0.0406717254499675</v>
      </c>
      <c r="I26" s="67" t="n">
        <v>0.029703861835651</v>
      </c>
      <c r="J26" s="67" t="n">
        <v>0.0323306510352554</v>
      </c>
      <c r="K26" s="67" t="n">
        <v>0.0354011714486862</v>
      </c>
      <c r="L26" s="65" t="n">
        <v>0.141162514430739</v>
      </c>
      <c r="M26" s="65" t="n">
        <v>0.220664122340843</v>
      </c>
      <c r="N26" s="65" t="n">
        <v>0.227125089766787</v>
      </c>
      <c r="O26" s="65" t="n">
        <v>0.168164627418957</v>
      </c>
      <c r="P26" s="65" t="n">
        <v>0.242883646042675</v>
      </c>
      <c r="Q26" s="66" t="n">
        <v>1.02116981229184</v>
      </c>
      <c r="R26" s="66" t="n">
        <v>1.02116981229184</v>
      </c>
      <c r="S26" s="66" t="n">
        <v>1.02116981229184</v>
      </c>
    </row>
    <row r="27" ht="15" customHeight="1" s="44">
      <c r="A27" s="51" t="n">
        <v>26</v>
      </c>
      <c r="B27" s="51" t="inlineStr">
        <is>
          <t>Maricopa</t>
        </is>
      </c>
      <c r="C27" s="53" t="n">
        <v>237193</v>
      </c>
      <c r="D27" s="53" t="n">
        <v>147193</v>
      </c>
      <c r="E27" s="64" t="n">
        <v>29311.9187443812</v>
      </c>
      <c r="F27" s="67" t="n">
        <v>0.0619048705235231</v>
      </c>
      <c r="G27" s="67" t="n">
        <v>0.0659437391516202</v>
      </c>
      <c r="H27" s="65" t="n">
        <v>0.0525662745790781</v>
      </c>
      <c r="I27" s="67" t="n">
        <v>0.0629023267951709</v>
      </c>
      <c r="J27" s="67" t="n">
        <v>0.0646115349946996</v>
      </c>
      <c r="K27" s="67" t="n">
        <v>0.104808525878422</v>
      </c>
      <c r="L27" s="65" t="n">
        <v>0.199131765422804</v>
      </c>
      <c r="M27" s="65" t="n">
        <v>0.218400048839073</v>
      </c>
      <c r="N27" s="65" t="n">
        <v>0.219514746139681</v>
      </c>
      <c r="O27" s="65" t="n">
        <v>0.192356187321948</v>
      </c>
      <c r="P27" s="65" t="n">
        <v>0.170597252276494</v>
      </c>
      <c r="Q27" s="66" t="n">
        <v>0.892800724015906</v>
      </c>
      <c r="R27" s="66" t="n">
        <v>0.892800724015905</v>
      </c>
      <c r="S27" s="66" t="n">
        <v>0.892800724015905</v>
      </c>
    </row>
    <row r="28" ht="15" customHeight="1" s="44">
      <c r="A28" s="51" t="n">
        <v>27</v>
      </c>
      <c r="B28" s="51" t="inlineStr">
        <is>
          <t>Maricopa</t>
        </is>
      </c>
      <c r="C28" s="53" t="n">
        <v>240634</v>
      </c>
      <c r="D28" s="53" t="n">
        <v>148316</v>
      </c>
      <c r="E28" s="64" t="n">
        <v>17221.8818952775</v>
      </c>
      <c r="F28" s="67" t="n">
        <v>0.036371497144073</v>
      </c>
      <c r="G28" s="67" t="n">
        <v>0.0390891223134939</v>
      </c>
      <c r="H28" s="65" t="n">
        <v>0.0446537691401172</v>
      </c>
      <c r="I28" s="67" t="n">
        <v>0.0339952398104724</v>
      </c>
      <c r="J28" s="67" t="n">
        <v>0.0333700771306165</v>
      </c>
      <c r="K28" s="67" t="n">
        <v>0.0380010748026946</v>
      </c>
      <c r="L28" s="65" t="n">
        <v>0.174623816673824</v>
      </c>
      <c r="M28" s="65" t="n">
        <v>0.234649141134379</v>
      </c>
      <c r="N28" s="65" t="n">
        <v>0.191239111076737</v>
      </c>
      <c r="O28" s="65" t="n">
        <v>0.152947932649817</v>
      </c>
      <c r="P28" s="65" t="n">
        <v>0.246539998465243</v>
      </c>
      <c r="Q28" s="66" t="n">
        <v>1.00343779436445</v>
      </c>
      <c r="R28" s="66" t="n">
        <v>1.00343779436445</v>
      </c>
      <c r="S28" s="66" t="n">
        <v>1.00343779436445</v>
      </c>
    </row>
    <row r="29" ht="15" customHeight="1" s="44">
      <c r="A29" s="51" t="n">
        <v>28</v>
      </c>
      <c r="B29" s="51" t="inlineStr">
        <is>
          <t>Maricopa</t>
        </is>
      </c>
      <c r="C29" s="53" t="n">
        <v>228803</v>
      </c>
      <c r="D29" s="53" t="n">
        <v>105504</v>
      </c>
      <c r="E29" s="64" t="n">
        <v>6272.32276338634</v>
      </c>
      <c r="F29" s="67" t="n">
        <v>0.0132467387050057</v>
      </c>
      <c r="G29" s="67" t="n">
        <v>0.0144456535550978</v>
      </c>
      <c r="H29" s="65" t="n">
        <v>0.0305925889005862</v>
      </c>
      <c r="I29" s="67" t="n">
        <v>0.014559628431917</v>
      </c>
      <c r="J29" s="67" t="n">
        <v>0.0167637723630458</v>
      </c>
      <c r="K29" s="67" t="n">
        <v>0.0343357294655888</v>
      </c>
      <c r="L29" s="65" t="n">
        <v>0.0769101804229418</v>
      </c>
      <c r="M29" s="65" t="n">
        <v>0.155097621406709</v>
      </c>
      <c r="N29" s="65" t="n">
        <v>0.205429921466186</v>
      </c>
      <c r="O29" s="65" t="n">
        <v>0.187625317080053</v>
      </c>
      <c r="P29" s="65" t="n">
        <v>0.374936959624111</v>
      </c>
      <c r="Q29" s="66" t="n">
        <v>1.27993451958328</v>
      </c>
      <c r="R29" s="66" t="n">
        <v>1.27993451958328</v>
      </c>
      <c r="S29" s="66" t="n">
        <v>1.27993451958328</v>
      </c>
    </row>
    <row r="30" ht="15" customHeight="1" s="44">
      <c r="A30" s="51" t="n">
        <v>29</v>
      </c>
      <c r="B30" s="51" t="inlineStr">
        <is>
          <t>Maricopa</t>
        </is>
      </c>
      <c r="C30" s="53" t="n">
        <v>240102</v>
      </c>
      <c r="D30" s="53" t="n">
        <v>138966</v>
      </c>
      <c r="E30" s="64" t="n">
        <v>12531.989973266</v>
      </c>
      <c r="F30" s="67" t="n">
        <v>0.026466749702144</v>
      </c>
      <c r="G30" s="67" t="n">
        <v>0.0284942916781754</v>
      </c>
      <c r="H30" s="65" t="n">
        <v>0.042985096731092</v>
      </c>
      <c r="I30" s="67" t="n">
        <v>0.0267139051904099</v>
      </c>
      <c r="J30" s="67" t="n">
        <v>0.0279276368079811</v>
      </c>
      <c r="K30" s="67" t="n">
        <v>0.0241865144128017</v>
      </c>
      <c r="L30" s="65" t="n">
        <v>0.119874703257125</v>
      </c>
      <c r="M30" s="65" t="n">
        <v>0.213548752523761</v>
      </c>
      <c r="N30" s="65" t="n">
        <v>0.214650734110418</v>
      </c>
      <c r="O30" s="65" t="n">
        <v>0.18832158836267</v>
      </c>
      <c r="P30" s="65" t="n">
        <v>0.263604221746026</v>
      </c>
      <c r="Q30" s="66" t="n">
        <v>1.0728265459942</v>
      </c>
      <c r="R30" s="66" t="n">
        <v>1.0728265459942</v>
      </c>
      <c r="S30" s="66" t="n">
        <v>1.0728265459942</v>
      </c>
    </row>
    <row r="31" ht="15" customHeight="1" s="44">
      <c r="A31" s="51" t="n">
        <v>30</v>
      </c>
      <c r="B31" s="51" t="inlineStr">
        <is>
          <t>Mohave</t>
        </is>
      </c>
      <c r="C31" s="53" t="n">
        <v>237999</v>
      </c>
      <c r="D31" s="53" t="n">
        <v>118280</v>
      </c>
      <c r="E31" s="64" t="n">
        <v>17491.7837919707</v>
      </c>
      <c r="F31" s="67" t="n">
        <v>0.0369415124376657</v>
      </c>
      <c r="G31" s="67" t="n">
        <v>0.039130110951542</v>
      </c>
      <c r="H31" s="65" t="n">
        <v>0.0583815763677771</v>
      </c>
      <c r="I31" s="67" t="n">
        <v>0.0395168241181915</v>
      </c>
      <c r="J31" s="67" t="n">
        <v>0.0380797415149651</v>
      </c>
      <c r="K31" s="67" t="n">
        <v>0.0315609580733793</v>
      </c>
      <c r="L31" s="65" t="n">
        <v>0.10035761186084</v>
      </c>
      <c r="M31" s="65" t="n">
        <v>0.175190284420198</v>
      </c>
      <c r="N31" s="65" t="n">
        <v>0.169982501533847</v>
      </c>
      <c r="O31" s="65" t="n">
        <v>0.193379021599581</v>
      </c>
      <c r="P31" s="65" t="n">
        <v>0.361090580585534</v>
      </c>
      <c r="Q31" s="66" t="n">
        <v>1.24599293120637</v>
      </c>
      <c r="R31" s="66" t="n">
        <v>1.24599293120637</v>
      </c>
      <c r="S31" s="66" t="n">
        <v>1.24599293120637</v>
      </c>
    </row>
    <row r="32" ht="15" customHeight="1" s="44">
      <c r="A32" s="63" t="n"/>
      <c r="B32" s="63" t="n"/>
      <c r="C32" s="63" t="n"/>
      <c r="D32" s="63" t="n"/>
      <c r="E32" s="63" t="n"/>
      <c r="F32" s="63" t="n"/>
      <c r="G32" s="63" t="n"/>
      <c r="H32" s="63" t="n"/>
      <c r="I32" s="63" t="n"/>
      <c r="J32" s="63" t="n"/>
      <c r="K32" s="63" t="n"/>
      <c r="L32" s="63" t="n"/>
      <c r="M32" s="63" t="n"/>
      <c r="N32" s="63" t="n"/>
      <c r="O32" s="63" t="n"/>
      <c r="P32" s="63" t="n"/>
      <c r="Q32" s="63" t="n"/>
      <c r="R32" s="63" t="n"/>
      <c r="S32" s="63" t="n"/>
    </row>
    <row r="33" ht="15" customHeight="1" s="44">
      <c r="A33" s="48" t="inlineStr">
        <is>
          <t>Total</t>
        </is>
      </c>
      <c r="B33" s="63" t="n"/>
      <c r="C33" s="58">
        <f>SUM(C2:C31)</f>
        <v/>
      </c>
      <c r="D33" s="58">
        <f>SUM(D2:D31)</f>
        <v/>
      </c>
      <c r="E33" s="58">
        <f>SUM(E2:E31)</f>
        <v/>
      </c>
      <c r="F33" s="68">
        <f>SUM(F2:F31)</f>
        <v/>
      </c>
      <c r="G33" s="68">
        <f>SUM(G2:G31)</f>
        <v/>
      </c>
      <c r="H33" s="63" t="n"/>
      <c r="I33" s="68">
        <f>SUM(I2:I31)</f>
        <v/>
      </c>
      <c r="J33" s="68">
        <f>SUM(J2:J31)</f>
        <v/>
      </c>
      <c r="K33" s="68">
        <f>SUM(K2:K31)</f>
        <v/>
      </c>
      <c r="L33" s="63" t="n"/>
      <c r="M33" s="63" t="n"/>
      <c r="N33" s="63" t="n"/>
      <c r="O33" s="63" t="n"/>
      <c r="P33" s="63" t="n"/>
      <c r="Q33" s="63" t="n"/>
      <c r="R33" s="63" t="n"/>
      <c r="S33" s="63" t="n"/>
    </row>
    <row r="34" ht="15" customHeight="1" s="44">
      <c r="A34" s="63" t="n"/>
      <c r="B34" s="63" t="n"/>
      <c r="C34" s="63" t="n"/>
      <c r="D34" s="63" t="n"/>
      <c r="E34" s="63" t="n"/>
      <c r="F34" s="63" t="n"/>
      <c r="G34" s="63" t="n"/>
      <c r="H34" s="63" t="n"/>
      <c r="I34" s="63" t="n"/>
      <c r="J34" s="63" t="n"/>
      <c r="K34" s="63" t="n"/>
      <c r="L34" s="63" t="n"/>
      <c r="M34" s="63" t="n"/>
      <c r="N34" s="63" t="n"/>
      <c r="O34" s="63" t="n"/>
      <c r="P34" s="63" t="n"/>
      <c r="Q34" s="63" t="n"/>
      <c r="R34" s="63" t="n"/>
      <c r="S34" s="63" t="n"/>
    </row>
    <row r="35" ht="75" customHeight="1" s="44">
      <c r="A35" s="46" t="inlineStr">
        <is>
          <t>Keys: ACS 2020-2024 5-year tract tables (C27007, B27010, B18135, B27020, B05006, B27003, B27001) distributed to 2020 census blocks by population and summed to 2022 legislative districts; expansion-adult key = adults 19-64 with Medicaid, excluding Medicare dual-eligibles and adults reporting a disability, calibrated to AHCCCS expansion enrollment by congressional district (Jan 2025); all-ages and adult keys calibrated to AHCCCS enrollment by county (Aug 2026). AIAN share from 2020 Census P3 (AIAN alone, 18+) with the adult Medicaid rate of AIAN-majority tracts (40.4%). Death-rate factor = district deaths per uninsured relative to the statewide rate; it reflects only the district's age profile of adults with public coverage (older = higher).</t>
        </is>
      </c>
    </row>
  </sheetData>
  <mergeCells count="1">
    <mergeCell ref="A35:S3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43" min="1" max="1"/>
    <col width="18" customWidth="1" style="43" min="2" max="2"/>
    <col width="22" customWidth="1" style="43" min="3" max="3"/>
    <col width="12" customWidth="1" style="43" min="4" max="6"/>
  </cols>
  <sheetData>
    <row r="1" ht="45" customHeight="1" s="44">
      <c r="A1" s="50" t="inlineStr">
        <is>
          <t>Congressional district (118th)</t>
        </is>
      </c>
      <c r="B1" s="50" t="inlineStr">
        <is>
          <t>ACS-based expansion-adult key (uncalibrated)</t>
        </is>
      </c>
      <c r="C1" s="50" t="inlineStr">
        <is>
          <t>AHCCCS expansion enrollment, Jan 1 2025 (Prop 204 + ACA adults)</t>
        </is>
      </c>
      <c r="D1" s="50" t="inlineStr">
        <is>
          <t>ACS share</t>
        </is>
      </c>
      <c r="E1" s="50" t="inlineStr">
        <is>
          <t>AHCCCS share</t>
        </is>
      </c>
      <c r="F1" s="50" t="inlineStr">
        <is>
          <t>Calibration factor</t>
        </is>
      </c>
    </row>
    <row r="2" ht="15" customHeight="1" s="44">
      <c r="A2" s="51" t="inlineStr">
        <is>
          <t>AZ-1</t>
        </is>
      </c>
      <c r="B2" s="53" t="n">
        <v>32639.7692980481</v>
      </c>
      <c r="C2" s="64" t="n">
        <v>38581</v>
      </c>
      <c r="D2" s="54">
        <f>B2/SUM($B$2:$B$10)</f>
        <v/>
      </c>
      <c r="E2" s="54">
        <f>C2/SUM($C$2:$C$10)</f>
        <v/>
      </c>
      <c r="F2" s="69">
        <f>E2/D2</f>
        <v/>
      </c>
    </row>
    <row r="3" ht="15" customHeight="1" s="44">
      <c r="A3" s="51" t="inlineStr">
        <is>
          <t>AZ-2</t>
        </is>
      </c>
      <c r="B3" s="53" t="n">
        <v>63652.1504308357</v>
      </c>
      <c r="C3" s="64" t="n">
        <v>67937</v>
      </c>
      <c r="D3" s="54">
        <f>B3/SUM($B$2:$B$10)</f>
        <v/>
      </c>
      <c r="E3" s="54">
        <f>C3/SUM($C$2:$C$10)</f>
        <v/>
      </c>
      <c r="F3" s="69">
        <f>E3/D3</f>
        <v/>
      </c>
    </row>
    <row r="4" ht="15" customHeight="1" s="44">
      <c r="A4" s="51" t="inlineStr">
        <is>
          <t>AZ-3</t>
        </is>
      </c>
      <c r="B4" s="53" t="n">
        <v>85770.9884606015</v>
      </c>
      <c r="C4" s="64" t="n">
        <v>87035</v>
      </c>
      <c r="D4" s="54">
        <f>B4/SUM($B$2:$B$10)</f>
        <v/>
      </c>
      <c r="E4" s="54">
        <f>C4/SUM($C$2:$C$10)</f>
        <v/>
      </c>
      <c r="F4" s="69">
        <f>E4/D4</f>
        <v/>
      </c>
    </row>
    <row r="5" ht="15" customHeight="1" s="44">
      <c r="A5" s="51" t="inlineStr">
        <is>
          <t>AZ-4</t>
        </is>
      </c>
      <c r="B5" s="53" t="n">
        <v>44039.6748792912</v>
      </c>
      <c r="C5" s="64" t="n">
        <v>45853</v>
      </c>
      <c r="D5" s="54">
        <f>B5/SUM($B$2:$B$10)</f>
        <v/>
      </c>
      <c r="E5" s="54">
        <f>C5/SUM($C$2:$C$10)</f>
        <v/>
      </c>
      <c r="F5" s="69">
        <f>E5/D5</f>
        <v/>
      </c>
    </row>
    <row r="6" ht="15" customHeight="1" s="44">
      <c r="A6" s="51" t="inlineStr">
        <is>
          <t>AZ-5</t>
        </is>
      </c>
      <c r="B6" s="53" t="n">
        <v>27340.7769248985</v>
      </c>
      <c r="C6" s="64" t="n">
        <v>29032</v>
      </c>
      <c r="D6" s="54">
        <f>B6/SUM($B$2:$B$10)</f>
        <v/>
      </c>
      <c r="E6" s="54">
        <f>C6/SUM($C$2:$C$10)</f>
        <v/>
      </c>
      <c r="F6" s="69">
        <f>E6/D6</f>
        <v/>
      </c>
    </row>
    <row r="7" ht="15" customHeight="1" s="44">
      <c r="A7" s="51" t="inlineStr">
        <is>
          <t>AZ-6</t>
        </is>
      </c>
      <c r="B7" s="53" t="n">
        <v>44989.9214471019</v>
      </c>
      <c r="C7" s="64" t="n">
        <v>46429</v>
      </c>
      <c r="D7" s="54">
        <f>B7/SUM($B$2:$B$10)</f>
        <v/>
      </c>
      <c r="E7" s="54">
        <f>C7/SUM($C$2:$C$10)</f>
        <v/>
      </c>
      <c r="F7" s="69">
        <f>E7/D7</f>
        <v/>
      </c>
    </row>
    <row r="8" ht="15" customHeight="1" s="44">
      <c r="A8" s="51" t="inlineStr">
        <is>
          <t>AZ-7</t>
        </is>
      </c>
      <c r="B8" s="53" t="n">
        <v>85563.06685216261</v>
      </c>
      <c r="C8" s="64" t="n">
        <v>81398</v>
      </c>
      <c r="D8" s="54">
        <f>B8/SUM($B$2:$B$10)</f>
        <v/>
      </c>
      <c r="E8" s="54">
        <f>C8/SUM($C$2:$C$10)</f>
        <v/>
      </c>
      <c r="F8" s="69">
        <f>E8/D8</f>
        <v/>
      </c>
    </row>
    <row r="9" ht="15" customHeight="1" s="44">
      <c r="A9" s="51" t="inlineStr">
        <is>
          <t>AZ-8</t>
        </is>
      </c>
      <c r="B9" s="53" t="n">
        <v>40463.9926422511</v>
      </c>
      <c r="C9" s="64" t="n">
        <v>47903</v>
      </c>
      <c r="D9" s="54">
        <f>B9/SUM($B$2:$B$10)</f>
        <v/>
      </c>
      <c r="E9" s="54">
        <f>C9/SUM($C$2:$C$10)</f>
        <v/>
      </c>
      <c r="F9" s="69">
        <f>E9/D9</f>
        <v/>
      </c>
    </row>
    <row r="10" ht="15" customHeight="1" s="44">
      <c r="A10" s="51" t="inlineStr">
        <is>
          <t>AZ-9</t>
        </is>
      </c>
      <c r="B10" s="53" t="n">
        <v>49039.0541284495</v>
      </c>
      <c r="C10" s="64" t="n">
        <v>54379</v>
      </c>
      <c r="D10" s="54">
        <f>B10/SUM($B$2:$B$10)</f>
        <v/>
      </c>
      <c r="E10" s="54">
        <f>C10/SUM($C$2:$C$10)</f>
        <v/>
      </c>
      <c r="F10" s="69">
        <f>E10/D10</f>
        <v/>
      </c>
    </row>
    <row r="11" ht="15" customHeight="1" s="44">
      <c r="A11" s="48" t="inlineStr">
        <is>
          <t>Total</t>
        </is>
      </c>
      <c r="B11" s="58">
        <f>SUM(B2:B10)</f>
        <v/>
      </c>
      <c r="C11" s="58">
        <f>SUM(C2:C10)</f>
        <v/>
      </c>
      <c r="D11" s="63" t="n"/>
      <c r="E11" s="63" t="n"/>
      <c r="F11" s="63" t="n"/>
    </row>
    <row r="12" ht="60" customHeight="1" s="44">
      <c r="A12" s="46" t="inlineStr">
        <is>
          <t>Source: Health Management Associates for AHCCCS, "AHCCCS Data to Inform Potential Federal Medicaid Changes — by Congressional District", Table 1 (Jan 1 2025). https://www.azahcccs.gov/AHCCCS/Downloads/AHCCCS_Data_to_Inform_by_Congressional%20District.pdf . The ACS-based key sums to 473,500 vs 500,151 actual; factors 0.90–1.12 indicate the ACS proxy tracks administrative enrollment closely.</t>
        </is>
      </c>
    </row>
    <row r="13" ht="15" customHeight="1" s="44">
      <c r="A13" s="63" t="n"/>
      <c r="B13" s="63" t="n"/>
      <c r="C13" s="63" t="n"/>
      <c r="D13" s="63" t="n"/>
      <c r="E13" s="63" t="n"/>
      <c r="F13" s="63" t="n"/>
    </row>
    <row r="14" ht="45" customHeight="1" s="44">
      <c r="A14" s="50" t="inlineStr">
        <is>
          <t>County</t>
        </is>
      </c>
      <c r="B14" s="50" t="inlineStr">
        <is>
          <t>ACS Medicaid (all ages)</t>
        </is>
      </c>
      <c r="C14" s="50" t="inlineStr">
        <is>
          <t>AHCCCS enrollment Aug 1 2026</t>
        </is>
      </c>
      <c r="D14" s="50" t="inlineStr">
        <is>
          <t>ACS share</t>
        </is>
      </c>
      <c r="E14" s="50" t="inlineStr">
        <is>
          <t>AHCCCS share</t>
        </is>
      </c>
      <c r="F14" s="50" t="inlineStr">
        <is>
          <t>Calibration factor</t>
        </is>
      </c>
    </row>
    <row r="15" ht="15" customHeight="1" s="44">
      <c r="A15" s="51" t="inlineStr">
        <is>
          <t>Apache</t>
        </is>
      </c>
      <c r="B15" s="53" t="n">
        <v>28958</v>
      </c>
      <c r="C15" s="64" t="n">
        <v>29191</v>
      </c>
      <c r="D15" s="54">
        <f>B15/SUM($B$15:$B$29)</f>
        <v/>
      </c>
      <c r="E15" s="54">
        <f>C15/SUM($C$15:$C$29)</f>
        <v/>
      </c>
      <c r="F15" s="69">
        <f>E15/D15</f>
        <v/>
      </c>
    </row>
    <row r="16" ht="15" customHeight="1" s="44">
      <c r="A16" s="51" t="inlineStr">
        <is>
          <t>Cochise</t>
        </is>
      </c>
      <c r="B16" s="53" t="n">
        <v>32497</v>
      </c>
      <c r="C16" s="64" t="n">
        <v>36658</v>
      </c>
      <c r="D16" s="54">
        <f>B16/SUM($B$15:$B$29)</f>
        <v/>
      </c>
      <c r="E16" s="54">
        <f>C16/SUM($C$15:$C$29)</f>
        <v/>
      </c>
      <c r="F16" s="69">
        <f>E16/D16</f>
        <v/>
      </c>
    </row>
    <row r="17" ht="15" customHeight="1" s="44">
      <c r="A17" s="51" t="inlineStr">
        <is>
          <t>Coconino</t>
        </is>
      </c>
      <c r="B17" s="53" t="n">
        <v>31643</v>
      </c>
      <c r="C17" s="64" t="n">
        <v>30136</v>
      </c>
      <c r="D17" s="54">
        <f>B17/SUM($B$15:$B$29)</f>
        <v/>
      </c>
      <c r="E17" s="54">
        <f>C17/SUM($C$15:$C$29)</f>
        <v/>
      </c>
      <c r="F17" s="69">
        <f>E17/D17</f>
        <v/>
      </c>
    </row>
    <row r="18" ht="15" customHeight="1" s="44">
      <c r="A18" s="51" t="inlineStr">
        <is>
          <t>Gila</t>
        </is>
      </c>
      <c r="B18" s="53" t="n">
        <v>13082</v>
      </c>
      <c r="C18" s="64" t="n">
        <v>11107</v>
      </c>
      <c r="D18" s="54">
        <f>B18/SUM($B$15:$B$29)</f>
        <v/>
      </c>
      <c r="E18" s="54">
        <f>C18/SUM($C$15:$C$29)</f>
        <v/>
      </c>
      <c r="F18" s="69">
        <f>E18/D18</f>
        <v/>
      </c>
    </row>
    <row r="19" ht="15" customHeight="1" s="44">
      <c r="A19" s="51" t="inlineStr">
        <is>
          <t>Graham</t>
        </is>
      </c>
      <c r="B19" s="53" t="n">
        <v>11243</v>
      </c>
      <c r="C19" s="64" t="n">
        <v>14834</v>
      </c>
      <c r="D19" s="54">
        <f>B19/SUM($B$15:$B$29)</f>
        <v/>
      </c>
      <c r="E19" s="54">
        <f>C19/SUM($C$15:$C$29)</f>
        <v/>
      </c>
      <c r="F19" s="69">
        <f>E19/D19</f>
        <v/>
      </c>
    </row>
    <row r="20" ht="15" customHeight="1" s="44">
      <c r="A20" s="51" t="inlineStr">
        <is>
          <t>Greenlee</t>
        </is>
      </c>
      <c r="B20" s="53" t="n">
        <v>933</v>
      </c>
      <c r="C20" s="64" t="n">
        <v>1455</v>
      </c>
      <c r="D20" s="54">
        <f>B20/SUM($B$15:$B$29)</f>
        <v/>
      </c>
      <c r="E20" s="54">
        <f>C20/SUM($C$15:$C$29)</f>
        <v/>
      </c>
      <c r="F20" s="69">
        <f>E20/D20</f>
        <v/>
      </c>
    </row>
    <row r="21" ht="15" customHeight="1" s="44">
      <c r="A21" s="51" t="inlineStr">
        <is>
          <t>La Paz</t>
        </is>
      </c>
      <c r="B21" s="53" t="n">
        <v>4014</v>
      </c>
      <c r="C21" s="64" t="n">
        <v>5467</v>
      </c>
      <c r="D21" s="54">
        <f>B21/SUM($B$15:$B$29)</f>
        <v/>
      </c>
      <c r="E21" s="54">
        <f>C21/SUM($C$15:$C$29)</f>
        <v/>
      </c>
      <c r="F21" s="69">
        <f>E21/D21</f>
        <v/>
      </c>
    </row>
    <row r="22" ht="15" customHeight="1" s="44">
      <c r="A22" s="51" t="inlineStr">
        <is>
          <t>Maricopa</t>
        </is>
      </c>
      <c r="B22" s="53" t="n">
        <v>822319</v>
      </c>
      <c r="C22" s="64" t="n">
        <v>1028695</v>
      </c>
      <c r="D22" s="54">
        <f>B22/SUM($B$15:$B$29)</f>
        <v/>
      </c>
      <c r="E22" s="54">
        <f>C22/SUM($C$15:$C$29)</f>
        <v/>
      </c>
      <c r="F22" s="69">
        <f>E22/D22</f>
        <v/>
      </c>
    </row>
    <row r="23" ht="15" customHeight="1" s="44">
      <c r="A23" s="51" t="inlineStr">
        <is>
          <t>Mohave</t>
        </is>
      </c>
      <c r="B23" s="53" t="n">
        <v>52190</v>
      </c>
      <c r="C23" s="64" t="n">
        <v>61164</v>
      </c>
      <c r="D23" s="54">
        <f>B23/SUM($B$15:$B$29)</f>
        <v/>
      </c>
      <c r="E23" s="54">
        <f>C23/SUM($C$15:$C$29)</f>
        <v/>
      </c>
      <c r="F23" s="69">
        <f>E23/D23</f>
        <v/>
      </c>
    </row>
    <row r="24" ht="15" customHeight="1" s="44">
      <c r="A24" s="51" t="inlineStr">
        <is>
          <t>Navajo</t>
        </is>
      </c>
      <c r="B24" s="53" t="n">
        <v>36826</v>
      </c>
      <c r="C24" s="64" t="n">
        <v>44195</v>
      </c>
      <c r="D24" s="54">
        <f>B24/SUM($B$15:$B$29)</f>
        <v/>
      </c>
      <c r="E24" s="54">
        <f>C24/SUM($C$15:$C$29)</f>
        <v/>
      </c>
      <c r="F24" s="69">
        <f>E24/D24</f>
        <v/>
      </c>
    </row>
    <row r="25" ht="15" customHeight="1" s="44">
      <c r="A25" s="51" t="inlineStr">
        <is>
          <t>Pima</t>
        </is>
      </c>
      <c r="B25" s="53" t="n">
        <v>229387</v>
      </c>
      <c r="C25" s="64" t="n">
        <v>258306</v>
      </c>
      <c r="D25" s="54">
        <f>B25/SUM($B$15:$B$29)</f>
        <v/>
      </c>
      <c r="E25" s="54">
        <f>C25/SUM($C$15:$C$29)</f>
        <v/>
      </c>
      <c r="F25" s="69">
        <f>E25/D25</f>
        <v/>
      </c>
    </row>
    <row r="26" ht="15" customHeight="1" s="44">
      <c r="A26" s="51" t="inlineStr">
        <is>
          <t>Pinal</t>
        </is>
      </c>
      <c r="B26" s="53" t="n">
        <v>89975</v>
      </c>
      <c r="C26" s="64" t="n">
        <v>103063</v>
      </c>
      <c r="D26" s="54">
        <f>B26/SUM($B$15:$B$29)</f>
        <v/>
      </c>
      <c r="E26" s="54">
        <f>C26/SUM($C$15:$C$29)</f>
        <v/>
      </c>
      <c r="F26" s="69">
        <f>E26/D26</f>
        <v/>
      </c>
    </row>
    <row r="27" ht="15" customHeight="1" s="44">
      <c r="A27" s="51" t="inlineStr">
        <is>
          <t>Santa Cruz</t>
        </is>
      </c>
      <c r="B27" s="53" t="n">
        <v>18675</v>
      </c>
      <c r="C27" s="64" t="n">
        <v>19493</v>
      </c>
      <c r="D27" s="54">
        <f>B27/SUM($B$15:$B$29)</f>
        <v/>
      </c>
      <c r="E27" s="54">
        <f>C27/SUM($C$15:$C$29)</f>
        <v/>
      </c>
      <c r="F27" s="69">
        <f>E27/D27</f>
        <v/>
      </c>
    </row>
    <row r="28" ht="15" customHeight="1" s="44">
      <c r="A28" s="51" t="inlineStr">
        <is>
          <t>Yavapai</t>
        </is>
      </c>
      <c r="B28" s="53" t="n">
        <v>42094</v>
      </c>
      <c r="C28" s="64" t="n">
        <v>47561</v>
      </c>
      <c r="D28" s="54">
        <f>B28/SUM($B$15:$B$29)</f>
        <v/>
      </c>
      <c r="E28" s="54">
        <f>C28/SUM($C$15:$C$29)</f>
        <v/>
      </c>
      <c r="F28" s="69">
        <f>E28/D28</f>
        <v/>
      </c>
    </row>
    <row r="29" ht="15" customHeight="1" s="44">
      <c r="A29" s="51" t="inlineStr">
        <is>
          <t>Yuma</t>
        </is>
      </c>
      <c r="B29" s="53" t="n">
        <v>65139</v>
      </c>
      <c r="C29" s="64" t="n">
        <v>80652</v>
      </c>
      <c r="D29" s="54">
        <f>B29/SUM($B$15:$B$29)</f>
        <v/>
      </c>
      <c r="E29" s="54">
        <f>C29/SUM($C$15:$C$29)</f>
        <v/>
      </c>
      <c r="F29" s="69">
        <f>E29/D29</f>
        <v/>
      </c>
    </row>
    <row r="30" ht="15" customHeight="1" s="44">
      <c r="A30" s="48" t="inlineStr">
        <is>
          <t>Total</t>
        </is>
      </c>
      <c r="B30" s="58">
        <f>SUM(B15:B29)</f>
        <v/>
      </c>
      <c r="C30" s="58">
        <f>SUM(C15:C29)</f>
        <v/>
      </c>
      <c r="D30" s="63" t="n"/>
      <c r="E30" s="63" t="n"/>
      <c r="F30" s="63" t="n"/>
    </row>
    <row r="31" ht="45" customHeight="1" s="44">
      <c r="A31" s="46" t="inlineStr">
        <is>
          <t>Source: AHCCCS Population by County, Aug 1 2026 (report dated 08/06/2026). https://www.azahcccs.gov/Resources/Downloads/PopulationStatistics/PopulationbyCounty08062026.pdf . ACS understates administrative enrollment (~1.48M vs 1.77M) for well-known survey reasons; only shares are used.</t>
        </is>
      </c>
    </row>
  </sheetData>
  <mergeCells count="2">
    <mergeCell ref="A31:F31"/>
    <mergeCell ref="A12:F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K5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43" min="1" max="1"/>
    <col width="12" customWidth="1" style="43" min="2" max="2"/>
    <col width="16" customWidth="1" style="43" min="3" max="4"/>
    <col width="18" customWidth="1" style="43" min="5" max="5"/>
    <col width="16" customWidth="1" style="43" min="6" max="6"/>
    <col width="18" customWidth="1" style="43" min="7" max="7"/>
    <col width="12" customWidth="1" style="43" min="8" max="11"/>
  </cols>
  <sheetData>
    <row r="1" ht="45" customHeight="1" s="44">
      <c r="A1" s="50" t="inlineStr">
        <is>
          <t>LD</t>
        </is>
      </c>
      <c r="B1" s="50" t="inlineStr">
        <is>
          <t>Main county</t>
        </is>
      </c>
      <c r="C1" s="50" t="inlineStr">
        <is>
          <t>USALEEP tract life expectancy, 2010-2015 (pop-weighted)</t>
        </is>
      </c>
      <c r="D1" s="50" t="inlineStr">
        <is>
          <t>Share of 2020 population in tracts with a USALEEP estimate</t>
        </is>
      </c>
      <c r="E1" s="50" t="inlineStr">
        <is>
          <t>Lowest / highest tract (calibrated)</t>
        </is>
      </c>
      <c r="F1" s="50" t="inlineStr">
        <is>
          <t>Baseline life expectancy, calibrated to 2020-2022 county data</t>
        </is>
      </c>
      <c r="G1" s="50" t="inlineStr">
        <is>
          <t>Reference: calibrated to CHR 2017-2019 county series (different method; see note)</t>
        </is>
      </c>
      <c r="H1" s="50" t="inlineStr">
        <is>
          <t>Model e0 with H.R. 1 — full phase-in Low</t>
        </is>
      </c>
      <c r="I1" s="50" t="inlineStr">
        <is>
          <t>Central</t>
        </is>
      </c>
      <c r="J1" s="50" t="inlineStr">
        <is>
          <t>High</t>
        </is>
      </c>
      <c r="K1" s="50" t="inlineStr">
        <is>
          <t>Model e0 — near term Central</t>
        </is>
      </c>
    </row>
    <row r="2" ht="15" customHeight="1" s="44">
      <c r="A2" s="48" t="n">
        <v>1</v>
      </c>
      <c r="B2" s="51" t="inlineStr">
        <is>
          <t>Yavapai</t>
        </is>
      </c>
      <c r="C2" s="70" t="n">
        <v>78.8844834761211</v>
      </c>
      <c r="D2" s="71" t="n">
        <v>0.929288428557016</v>
      </c>
      <c r="E2" s="51" t="inlineStr">
        <is>
          <t>65.6 / 86.0</t>
        </is>
      </c>
      <c r="F2" s="70" t="n">
        <v>76.45608834454239</v>
      </c>
      <c r="G2" s="70" t="n">
        <v>79.0494705478696</v>
      </c>
      <c r="H2" s="72" t="n">
        <v>76.39101217607789</v>
      </c>
      <c r="I2" s="72" t="n">
        <v>76.2988178849279</v>
      </c>
      <c r="J2" s="72" t="n">
        <v>76.1371117106999</v>
      </c>
      <c r="K2" s="72" t="n">
        <v>76.3544779239955</v>
      </c>
    </row>
    <row r="3" ht="15" customHeight="1" s="44">
      <c r="A3" s="48" t="n">
        <v>2</v>
      </c>
      <c r="B3" s="51" t="inlineStr">
        <is>
          <t>Maricopa</t>
        </is>
      </c>
      <c r="C3" s="70" t="n">
        <v>78.2410914307041</v>
      </c>
      <c r="D3" s="71" t="n">
        <v>0.901542116315461</v>
      </c>
      <c r="E3" s="51" t="inlineStr">
        <is>
          <t>69.5 / 82.1</t>
        </is>
      </c>
      <c r="F3" s="70" t="n">
        <v>76.9447110818529</v>
      </c>
      <c r="G3" s="70" t="n">
        <v>79.953905056853</v>
      </c>
      <c r="H3" s="72" t="n">
        <v>76.87779165603609</v>
      </c>
      <c r="I3" s="72" t="n">
        <v>76.78298982381639</v>
      </c>
      <c r="J3" s="72" t="n">
        <v>76.6167209583745</v>
      </c>
      <c r="K3" s="72" t="n">
        <v>76.8290645121573</v>
      </c>
    </row>
    <row r="4" ht="15" customHeight="1" s="44">
      <c r="A4" s="48" t="n">
        <v>3</v>
      </c>
      <c r="B4" s="51" t="inlineStr">
        <is>
          <t>Maricopa</t>
        </is>
      </c>
      <c r="C4" s="70" t="n">
        <v>82.42832116648189</v>
      </c>
      <c r="D4" s="71" t="n">
        <v>0.879293536747484</v>
      </c>
      <c r="E4" s="51" t="inlineStr">
        <is>
          <t>64.5 / 89.5</t>
        </is>
      </c>
      <c r="F4" s="70" t="n">
        <v>81.13194081763071</v>
      </c>
      <c r="G4" s="70" t="n">
        <v>84.14113479263069</v>
      </c>
      <c r="H4" s="72" t="n">
        <v>81.1061234427799</v>
      </c>
      <c r="I4" s="72" t="n">
        <v>81.0694909220953</v>
      </c>
      <c r="J4" s="72" t="n">
        <v>81.0050772364316</v>
      </c>
      <c r="K4" s="72" t="n">
        <v>81.0820300054104</v>
      </c>
    </row>
    <row r="5" ht="15" customHeight="1" s="44">
      <c r="A5" s="48" t="n">
        <v>4</v>
      </c>
      <c r="B5" s="51" t="inlineStr">
        <is>
          <t>Maricopa</t>
        </is>
      </c>
      <c r="C5" s="70" t="n">
        <v>81.2939199063333</v>
      </c>
      <c r="D5" s="71" t="n">
        <v>0.943949602534609</v>
      </c>
      <c r="E5" s="51" t="inlineStr">
        <is>
          <t>73.8 / 89.2</t>
        </is>
      </c>
      <c r="F5" s="70" t="n">
        <v>79.9975395574822</v>
      </c>
      <c r="G5" s="70" t="n">
        <v>83.0067335324821</v>
      </c>
      <c r="H5" s="72" t="n">
        <v>79.9576204854804</v>
      </c>
      <c r="I5" s="72" t="n">
        <v>79.9010095521342</v>
      </c>
      <c r="J5" s="72" t="n">
        <v>79.8015534515806</v>
      </c>
      <c r="K5" s="72" t="n">
        <v>79.9269351402248</v>
      </c>
    </row>
    <row r="6" ht="15" customHeight="1" s="44">
      <c r="A6" s="48" t="n">
        <v>5</v>
      </c>
      <c r="B6" s="51" t="inlineStr">
        <is>
          <t>Maricopa</t>
        </is>
      </c>
      <c r="C6" s="70" t="n">
        <v>76.3933748138593</v>
      </c>
      <c r="D6" s="71" t="n">
        <v>0.881943050257646</v>
      </c>
      <c r="E6" s="51" t="inlineStr">
        <is>
          <t>68.8 / 82.2</t>
        </is>
      </c>
      <c r="F6" s="70" t="n">
        <v>75.09699446500809</v>
      </c>
      <c r="G6" s="70" t="n">
        <v>78.1061884400081</v>
      </c>
      <c r="H6" s="72" t="n">
        <v>75.02328892653109</v>
      </c>
      <c r="I6" s="72" t="n">
        <v>74.918919656405</v>
      </c>
      <c r="J6" s="72" t="n">
        <v>74.7360017287242</v>
      </c>
      <c r="K6" s="72" t="n">
        <v>74.9786076363557</v>
      </c>
    </row>
    <row r="7" ht="15" customHeight="1" s="44">
      <c r="A7" s="48" t="n">
        <v>6</v>
      </c>
      <c r="B7" s="51" t="inlineStr">
        <is>
          <t>Coconino</t>
        </is>
      </c>
      <c r="C7" s="70" t="n">
        <v>76.4230475268281</v>
      </c>
      <c r="D7" s="71" t="n">
        <v>0.9435367270727441</v>
      </c>
      <c r="E7" s="51" t="inlineStr">
        <is>
          <t>61.8 / 82.4</t>
        </is>
      </c>
      <c r="F7" s="70" t="n">
        <v>68.75980370475079</v>
      </c>
      <c r="G7" s="70" t="n">
        <v>74.8470743603267</v>
      </c>
      <c r="H7" s="72" t="n">
        <v>68.69699366994961</v>
      </c>
      <c r="I7" s="72" t="n">
        <v>68.608040547269</v>
      </c>
      <c r="J7" s="72" t="n">
        <v>68.4521063027331</v>
      </c>
      <c r="K7" s="72" t="n">
        <v>68.65510866979049</v>
      </c>
    </row>
    <row r="8" ht="15" customHeight="1" s="44">
      <c r="A8" s="48" t="n">
        <v>7</v>
      </c>
      <c r="B8" s="51" t="inlineStr">
        <is>
          <t>Pinal</t>
        </is>
      </c>
      <c r="C8" s="70" t="n">
        <v>79.9100806492725</v>
      </c>
      <c r="D8" s="71" t="n">
        <v>0.816596867792885</v>
      </c>
      <c r="E8" s="51" t="inlineStr">
        <is>
          <t>65.1 / 86.2</t>
        </is>
      </c>
      <c r="F8" s="70" t="n">
        <v>74.7923689957257</v>
      </c>
      <c r="G8" s="70" t="n">
        <v>79.60586780389841</v>
      </c>
      <c r="H8" s="72" t="n">
        <v>74.72867881195</v>
      </c>
      <c r="I8" s="72" t="n">
        <v>74.6384548353324</v>
      </c>
      <c r="J8" s="72" t="n">
        <v>74.48022374718509</v>
      </c>
      <c r="K8" s="72" t="n">
        <v>74.6904803792299</v>
      </c>
    </row>
    <row r="9" ht="15" customHeight="1" s="44">
      <c r="A9" s="48" t="n">
        <v>8</v>
      </c>
      <c r="B9" s="51" t="inlineStr">
        <is>
          <t>Maricopa</t>
        </is>
      </c>
      <c r="C9" s="70" t="n">
        <v>78.2954860336329</v>
      </c>
      <c r="D9" s="71" t="n">
        <v>0.807598109482893</v>
      </c>
      <c r="E9" s="51" t="inlineStr">
        <is>
          <t>64.5 / 89.2</t>
        </is>
      </c>
      <c r="F9" s="70" t="n">
        <v>76.9991056847817</v>
      </c>
      <c r="G9" s="70" t="n">
        <v>80.0082996597817</v>
      </c>
      <c r="H9" s="72" t="n">
        <v>76.9331022860908</v>
      </c>
      <c r="I9" s="72" t="n">
        <v>76.8396051823317</v>
      </c>
      <c r="J9" s="72" t="n">
        <v>76.6756445970221</v>
      </c>
      <c r="K9" s="72" t="n">
        <v>76.8873862245391</v>
      </c>
    </row>
    <row r="10" ht="15" customHeight="1" s="44">
      <c r="A10" s="48" t="n">
        <v>9</v>
      </c>
      <c r="B10" s="51" t="inlineStr">
        <is>
          <t>Maricopa</t>
        </is>
      </c>
      <c r="C10" s="70" t="n">
        <v>77.3003838449166</v>
      </c>
      <c r="D10" s="71" t="n">
        <v>1</v>
      </c>
      <c r="E10" s="51" t="inlineStr">
        <is>
          <t>65.2 / 81.1</t>
        </is>
      </c>
      <c r="F10" s="70" t="n">
        <v>76.00400349606539</v>
      </c>
      <c r="G10" s="70" t="n">
        <v>79.0131974710654</v>
      </c>
      <c r="H10" s="72" t="n">
        <v>75.9252739157852</v>
      </c>
      <c r="I10" s="72" t="n">
        <v>75.8137956610947</v>
      </c>
      <c r="J10" s="72" t="n">
        <v>75.61843328812709</v>
      </c>
      <c r="K10" s="72" t="n">
        <v>75.8802876899188</v>
      </c>
    </row>
    <row r="11" ht="15" customHeight="1" s="44">
      <c r="A11" s="48" t="n">
        <v>10</v>
      </c>
      <c r="B11" s="51" t="inlineStr">
        <is>
          <t>Maricopa</t>
        </is>
      </c>
      <c r="C11" s="70" t="n">
        <v>78.98916553922361</v>
      </c>
      <c r="D11" s="71" t="n">
        <v>0.925570615377432</v>
      </c>
      <c r="E11" s="51" t="inlineStr">
        <is>
          <t>64.5 / 83.5</t>
        </is>
      </c>
      <c r="F11" s="70" t="n">
        <v>77.6949238582947</v>
      </c>
      <c r="G11" s="70" t="n">
        <v>80.7848121655293</v>
      </c>
      <c r="H11" s="72" t="n">
        <v>77.6393490001763</v>
      </c>
      <c r="I11" s="72" t="n">
        <v>77.5605873461905</v>
      </c>
      <c r="J11" s="72" t="n">
        <v>77.4223621411067</v>
      </c>
      <c r="K11" s="72" t="n">
        <v>77.60327710648301</v>
      </c>
    </row>
    <row r="12" ht="15" customHeight="1" s="44">
      <c r="A12" s="48" t="n">
        <v>11</v>
      </c>
      <c r="B12" s="51" t="inlineStr">
        <is>
          <t>Maricopa</t>
        </is>
      </c>
      <c r="C12" s="70" t="n">
        <v>76.306925806667</v>
      </c>
      <c r="D12" s="71" t="n">
        <v>0.8186920838869181</v>
      </c>
      <c r="E12" s="51" t="inlineStr">
        <is>
          <t>66.4 / 79.8</t>
        </is>
      </c>
      <c r="F12" s="70" t="n">
        <v>75.01054545781579</v>
      </c>
      <c r="G12" s="70" t="n">
        <v>78.0197394328158</v>
      </c>
      <c r="H12" s="72" t="n">
        <v>74.9187413637266</v>
      </c>
      <c r="I12" s="72" t="n">
        <v>74.78882193618129</v>
      </c>
      <c r="J12" s="72" t="n">
        <v>74.5613454404117</v>
      </c>
      <c r="K12" s="72" t="n">
        <v>74.86494212113131</v>
      </c>
    </row>
    <row r="13" ht="15" customHeight="1" s="44">
      <c r="A13" s="48" t="n">
        <v>12</v>
      </c>
      <c r="B13" s="51" t="inlineStr">
        <is>
          <t>Maricopa</t>
        </is>
      </c>
      <c r="C13" s="70" t="n">
        <v>80.5475157861728</v>
      </c>
      <c r="D13" s="71" t="n">
        <v>0.880907237896728</v>
      </c>
      <c r="E13" s="51" t="inlineStr">
        <is>
          <t>75.1 / 82.9</t>
        </is>
      </c>
      <c r="F13" s="70" t="n">
        <v>79.25113543732159</v>
      </c>
      <c r="G13" s="70" t="n">
        <v>82.2603294123216</v>
      </c>
      <c r="H13" s="72" t="n">
        <v>79.2134527633085</v>
      </c>
      <c r="I13" s="72" t="n">
        <v>79.1600087539346</v>
      </c>
      <c r="J13" s="72" t="n">
        <v>79.0661033127745</v>
      </c>
      <c r="K13" s="72" t="n">
        <v>79.18692649454729</v>
      </c>
    </row>
    <row r="14" ht="15" customHeight="1" s="44">
      <c r="A14" s="48" t="n">
        <v>13</v>
      </c>
      <c r="B14" s="51" t="inlineStr">
        <is>
          <t>Maricopa</t>
        </is>
      </c>
      <c r="C14" s="70" t="n">
        <v>80.2585461082554</v>
      </c>
      <c r="D14" s="71" t="n">
        <v>0.898009803839136</v>
      </c>
      <c r="E14" s="51" t="inlineStr">
        <is>
          <t>73.1 / 84.9</t>
        </is>
      </c>
      <c r="F14" s="70" t="n">
        <v>78.9621657594042</v>
      </c>
      <c r="G14" s="70" t="n">
        <v>81.9713597344042</v>
      </c>
      <c r="H14" s="72" t="n">
        <v>78.9237567645247</v>
      </c>
      <c r="I14" s="72" t="n">
        <v>78.8692839133401</v>
      </c>
      <c r="J14" s="72" t="n">
        <v>78.7735743325776</v>
      </c>
      <c r="K14" s="72" t="n">
        <v>78.89390299746989</v>
      </c>
    </row>
    <row r="15" ht="15" customHeight="1" s="44">
      <c r="A15" s="48" t="n">
        <v>14</v>
      </c>
      <c r="B15" s="51" t="inlineStr">
        <is>
          <t>Maricopa</t>
        </is>
      </c>
      <c r="C15" s="70" t="n">
        <v>80.18443564450909</v>
      </c>
      <c r="D15" s="71" t="n">
        <v>0.693767274051272</v>
      </c>
      <c r="E15" s="51" t="inlineStr">
        <is>
          <t>74.7 / 83.6</t>
        </is>
      </c>
      <c r="F15" s="70" t="n">
        <v>78.88805529565791</v>
      </c>
      <c r="G15" s="70" t="n">
        <v>81.89724927065789</v>
      </c>
      <c r="H15" s="72" t="n">
        <v>78.85619254143199</v>
      </c>
      <c r="I15" s="72" t="n">
        <v>78.81099337057159</v>
      </c>
      <c r="J15" s="72" t="n">
        <v>78.73154817352609</v>
      </c>
      <c r="K15" s="72" t="n">
        <v>78.8322053665778</v>
      </c>
    </row>
    <row r="16" ht="15" customHeight="1" s="44">
      <c r="A16" s="48" t="n">
        <v>15</v>
      </c>
      <c r="B16" s="51" t="inlineStr">
        <is>
          <t>Maricopa</t>
        </is>
      </c>
      <c r="C16" s="70" t="n">
        <v>80.4805641033651</v>
      </c>
      <c r="D16" s="71" t="n">
        <v>0.800144149849184</v>
      </c>
      <c r="E16" s="51" t="inlineStr">
        <is>
          <t>74.8 / 83.9</t>
        </is>
      </c>
      <c r="F16" s="70" t="n">
        <v>79.20403738626889</v>
      </c>
      <c r="G16" s="70" t="n">
        <v>82.9623310883461</v>
      </c>
      <c r="H16" s="72" t="n">
        <v>79.1608228577204</v>
      </c>
      <c r="I16" s="72" t="n">
        <v>79.0995486261811</v>
      </c>
      <c r="J16" s="72" t="n">
        <v>78.99192867458351</v>
      </c>
      <c r="K16" s="72" t="n">
        <v>79.1365085119582</v>
      </c>
    </row>
    <row r="17" ht="15" customHeight="1" s="44">
      <c r="A17" s="48" t="n">
        <v>16</v>
      </c>
      <c r="B17" s="51" t="inlineStr">
        <is>
          <t>Pinal</t>
        </is>
      </c>
      <c r="C17" s="70" t="n">
        <v>78.4745047849994</v>
      </c>
      <c r="D17" s="71" t="n">
        <v>0.845859711319321</v>
      </c>
      <c r="E17" s="51" t="inlineStr">
        <is>
          <t>71.2 / 86.2</t>
        </is>
      </c>
      <c r="F17" s="70" t="n">
        <v>77.071693161057</v>
      </c>
      <c r="G17" s="70" t="n">
        <v>81.2836229152157</v>
      </c>
      <c r="H17" s="72" t="n">
        <v>77.0007286965054</v>
      </c>
      <c r="I17" s="72" t="n">
        <v>76.9002069311564</v>
      </c>
      <c r="J17" s="72" t="n">
        <v>76.7239359031865</v>
      </c>
      <c r="K17" s="72" t="n">
        <v>76.959638744541</v>
      </c>
    </row>
    <row r="18" ht="15" customHeight="1" s="44">
      <c r="A18" s="48" t="n">
        <v>17</v>
      </c>
      <c r="B18" s="51" t="inlineStr">
        <is>
          <t>Pima</t>
        </is>
      </c>
      <c r="C18" s="70" t="n">
        <v>80.7966758559206</v>
      </c>
      <c r="D18" s="71" t="n">
        <v>0.964108833432776</v>
      </c>
      <c r="E18" s="51" t="inlineStr">
        <is>
          <t>72.9 / 87.6</t>
        </is>
      </c>
      <c r="F18" s="70" t="n">
        <v>78.7453428964599</v>
      </c>
      <c r="G18" s="70" t="n">
        <v>81.8249598345227</v>
      </c>
      <c r="H18" s="72" t="n">
        <v>78.6989564641691</v>
      </c>
      <c r="I18" s="72" t="n">
        <v>78.6331877662104</v>
      </c>
      <c r="J18" s="72" t="n">
        <v>78.5176824203299</v>
      </c>
      <c r="K18" s="72" t="n">
        <v>78.6711576635962</v>
      </c>
    </row>
    <row r="19" ht="15" customHeight="1" s="44">
      <c r="A19" s="48" t="n">
        <v>18</v>
      </c>
      <c r="B19" s="51" t="inlineStr">
        <is>
          <t>Pima</t>
        </is>
      </c>
      <c r="C19" s="70" t="n">
        <v>78.5661163853805</v>
      </c>
      <c r="D19" s="71" t="n">
        <v>0.9247610009407961</v>
      </c>
      <c r="E19" s="51" t="inlineStr">
        <is>
          <t>68.1 / 85.4</t>
        </is>
      </c>
      <c r="F19" s="70" t="n">
        <v>76.48204586952831</v>
      </c>
      <c r="G19" s="70" t="n">
        <v>79.5045033085283</v>
      </c>
      <c r="H19" s="72" t="n">
        <v>76.4106972929071</v>
      </c>
      <c r="I19" s="72" t="n">
        <v>76.3096356694447</v>
      </c>
      <c r="J19" s="72" t="n">
        <v>76.13243000228979</v>
      </c>
      <c r="K19" s="72" t="n">
        <v>76.3661552118749</v>
      </c>
    </row>
    <row r="20" ht="15" customHeight="1" s="44">
      <c r="A20" s="48" t="n">
        <v>19</v>
      </c>
      <c r="B20" s="51" t="inlineStr">
        <is>
          <t>Cochise</t>
        </is>
      </c>
      <c r="C20" s="70" t="n">
        <v>79.6093932138</v>
      </c>
      <c r="D20" s="71" t="n">
        <v>0.838972387580486</v>
      </c>
      <c r="E20" s="51" t="inlineStr">
        <is>
          <t>69.0 / 86.5</t>
        </is>
      </c>
      <c r="F20" s="70" t="n">
        <v>76.68049730747821</v>
      </c>
      <c r="G20" s="70" t="n">
        <v>79.7733065721969</v>
      </c>
      <c r="H20" s="72" t="n">
        <v>76.592946024661</v>
      </c>
      <c r="I20" s="72" t="n">
        <v>76.46900170325191</v>
      </c>
      <c r="J20" s="72" t="n">
        <v>76.251864200059</v>
      </c>
      <c r="K20" s="72" t="n">
        <v>76.5458646925906</v>
      </c>
    </row>
    <row r="21" ht="15" customHeight="1" s="44">
      <c r="A21" s="48" t="n">
        <v>20</v>
      </c>
      <c r="B21" s="51" t="inlineStr">
        <is>
          <t>Pima</t>
        </is>
      </c>
      <c r="C21" s="70" t="n">
        <v>77.0614036283033</v>
      </c>
      <c r="D21" s="71" t="n">
        <v>0.923148528634805</v>
      </c>
      <c r="E21" s="51" t="inlineStr">
        <is>
          <t>65.3 / 84.3</t>
        </is>
      </c>
      <c r="F21" s="70" t="n">
        <v>74.97733311245111</v>
      </c>
      <c r="G21" s="70" t="n">
        <v>77.9997905514511</v>
      </c>
      <c r="H21" s="72" t="n">
        <v>74.8760263270412</v>
      </c>
      <c r="I21" s="72" t="n">
        <v>74.73272447803269</v>
      </c>
      <c r="J21" s="72" t="n">
        <v>74.4820023388253</v>
      </c>
      <c r="K21" s="72" t="n">
        <v>74.8210860291084</v>
      </c>
    </row>
    <row r="22" ht="15" customHeight="1" s="44">
      <c r="A22" s="48" t="n">
        <v>21</v>
      </c>
      <c r="B22" s="51" t="inlineStr">
        <is>
          <t>Pima</t>
        </is>
      </c>
      <c r="C22" s="70" t="n">
        <v>77.8349065700302</v>
      </c>
      <c r="D22" s="71" t="n">
        <v>0.895320197044335</v>
      </c>
      <c r="E22" s="51" t="inlineStr">
        <is>
          <t>66.4 / 83.8</t>
        </is>
      </c>
      <c r="F22" s="70" t="n">
        <v>75.7950794340578</v>
      </c>
      <c r="G22" s="70" t="n">
        <v>78.84469097210361</v>
      </c>
      <c r="H22" s="72" t="n">
        <v>75.6885301031019</v>
      </c>
      <c r="I22" s="72" t="n">
        <v>75.5377902679612</v>
      </c>
      <c r="J22" s="72" t="n">
        <v>75.27399169309091</v>
      </c>
      <c r="K22" s="72" t="n">
        <v>75.63030521910819</v>
      </c>
    </row>
    <row r="23" ht="15" customHeight="1" s="44">
      <c r="A23" s="48" t="n">
        <v>22</v>
      </c>
      <c r="B23" s="51" t="inlineStr">
        <is>
          <t>Maricopa</t>
        </is>
      </c>
      <c r="C23" s="70" t="n">
        <v>77.5313228279107</v>
      </c>
      <c r="D23" s="71" t="n">
        <v>0.637734978180598</v>
      </c>
      <c r="E23" s="51" t="inlineStr">
        <is>
          <t>71.1 / 81.6</t>
        </is>
      </c>
      <c r="F23" s="70" t="n">
        <v>76.2349424790595</v>
      </c>
      <c r="G23" s="70" t="n">
        <v>79.2441364540595</v>
      </c>
      <c r="H23" s="72" t="n">
        <v>76.1535579115434</v>
      </c>
      <c r="I23" s="72" t="n">
        <v>76.0383272941317</v>
      </c>
      <c r="J23" s="72" t="n">
        <v>75.83640885357821</v>
      </c>
      <c r="K23" s="72" t="n">
        <v>76.1078489967126</v>
      </c>
    </row>
    <row r="24" ht="15" customHeight="1" s="44">
      <c r="A24" s="48" t="n">
        <v>23</v>
      </c>
      <c r="B24" s="51" t="inlineStr">
        <is>
          <t>Yuma</t>
        </is>
      </c>
      <c r="C24" s="70" t="n">
        <v>78.4706216178777</v>
      </c>
      <c r="D24" s="71" t="n">
        <v>0.96357741360454</v>
      </c>
      <c r="E24" s="51" t="inlineStr">
        <is>
          <t>66.3 / 83.5</t>
        </is>
      </c>
      <c r="F24" s="70" t="n">
        <v>77.5344378971191</v>
      </c>
      <c r="G24" s="70" t="n">
        <v>81.7168857351765</v>
      </c>
      <c r="H24" s="72" t="n">
        <v>77.42968893783539</v>
      </c>
      <c r="I24" s="72" t="n">
        <v>77.2814653869026</v>
      </c>
      <c r="J24" s="72" t="n">
        <v>77.0219832995727</v>
      </c>
      <c r="K24" s="72" t="n">
        <v>77.37400465798579</v>
      </c>
    </row>
    <row r="25" ht="15" customHeight="1" s="44">
      <c r="A25" s="48" t="n">
        <v>24</v>
      </c>
      <c r="B25" s="51" t="inlineStr">
        <is>
          <t>Maricopa</t>
        </is>
      </c>
      <c r="C25" s="70" t="n">
        <v>76.5187095944317</v>
      </c>
      <c r="D25" s="71" t="n">
        <v>0.893234663307687</v>
      </c>
      <c r="E25" s="51" t="inlineStr">
        <is>
          <t>70.2 / 79.8</t>
        </is>
      </c>
      <c r="F25" s="70" t="n">
        <v>75.2223292455805</v>
      </c>
      <c r="G25" s="70" t="n">
        <v>78.2315232205805</v>
      </c>
      <c r="H25" s="72" t="n">
        <v>75.1057644514409</v>
      </c>
      <c r="I25" s="72" t="n">
        <v>74.94093922628289</v>
      </c>
      <c r="J25" s="72" t="n">
        <v>74.6527280333366</v>
      </c>
      <c r="K25" s="72" t="n">
        <v>75.0364180823575</v>
      </c>
    </row>
    <row r="26" ht="15" customHeight="1" s="44">
      <c r="A26" s="48" t="n">
        <v>25</v>
      </c>
      <c r="B26" s="51" t="inlineStr">
        <is>
          <t>Maricopa</t>
        </is>
      </c>
      <c r="C26" s="70" t="n">
        <v>78.88393152550429</v>
      </c>
      <c r="D26" s="71" t="n">
        <v>0.900499989712146</v>
      </c>
      <c r="E26" s="51" t="inlineStr">
        <is>
          <t>72.6 / 83.5</t>
        </is>
      </c>
      <c r="F26" s="70" t="n">
        <v>77.8736360248986</v>
      </c>
      <c r="G26" s="70" t="n">
        <v>81.5547037956502</v>
      </c>
      <c r="H26" s="72" t="n">
        <v>77.8032765800117</v>
      </c>
      <c r="I26" s="72" t="n">
        <v>77.7036079003984</v>
      </c>
      <c r="J26" s="72" t="n">
        <v>77.5288216555238</v>
      </c>
      <c r="K26" s="72" t="n">
        <v>77.7584401050278</v>
      </c>
    </row>
    <row r="27" ht="15" customHeight="1" s="44">
      <c r="A27" s="48" t="n">
        <v>26</v>
      </c>
      <c r="B27" s="51" t="inlineStr">
        <is>
          <t>Maricopa</t>
        </is>
      </c>
      <c r="C27" s="70" t="n">
        <v>76.3270233214128</v>
      </c>
      <c r="D27" s="71" t="n">
        <v>0.965530180064336</v>
      </c>
      <c r="E27" s="51" t="inlineStr">
        <is>
          <t>68.6 / 79.4</t>
        </is>
      </c>
      <c r="F27" s="70" t="n">
        <v>75.03064297256159</v>
      </c>
      <c r="G27" s="70" t="n">
        <v>78.0398369475616</v>
      </c>
      <c r="H27" s="72" t="n">
        <v>74.9049372826581</v>
      </c>
      <c r="I27" s="72" t="n">
        <v>74.7272590634024</v>
      </c>
      <c r="J27" s="72" t="n">
        <v>74.4167779459957</v>
      </c>
      <c r="K27" s="72" t="n">
        <v>74.8178560421603</v>
      </c>
    </row>
    <row r="28" ht="15" customHeight="1" s="44">
      <c r="A28" s="48" t="n">
        <v>27</v>
      </c>
      <c r="B28" s="51" t="inlineStr">
        <is>
          <t>Maricopa</t>
        </is>
      </c>
      <c r="C28" s="70" t="n">
        <v>78.6377677302459</v>
      </c>
      <c r="D28" s="71" t="n">
        <v>1</v>
      </c>
      <c r="E28" s="51" t="inlineStr">
        <is>
          <t>71.4 / 82.2</t>
        </is>
      </c>
      <c r="F28" s="70" t="n">
        <v>77.3413873813947</v>
      </c>
      <c r="G28" s="70" t="n">
        <v>80.3505813563948</v>
      </c>
      <c r="H28" s="72" t="n">
        <v>77.26804660242171</v>
      </c>
      <c r="I28" s="72" t="n">
        <v>77.164162338803</v>
      </c>
      <c r="J28" s="72" t="n">
        <v>76.9820050916055</v>
      </c>
      <c r="K28" s="72" t="n">
        <v>77.22071646020299</v>
      </c>
    </row>
    <row r="29" ht="15" customHeight="1" s="44">
      <c r="A29" s="48" t="n">
        <v>28</v>
      </c>
      <c r="B29" s="51" t="inlineStr">
        <is>
          <t>Maricopa</t>
        </is>
      </c>
      <c r="C29" s="70" t="n">
        <v>79.38828071270061</v>
      </c>
      <c r="D29" s="71" t="n">
        <v>0.6164298545036559</v>
      </c>
      <c r="E29" s="51" t="inlineStr">
        <is>
          <t>71.4 / 82.2</t>
        </is>
      </c>
      <c r="F29" s="70" t="n">
        <v>78.0919003638494</v>
      </c>
      <c r="G29" s="70" t="n">
        <v>81.10109433884941</v>
      </c>
      <c r="H29" s="72" t="n">
        <v>78.0490286696695</v>
      </c>
      <c r="I29" s="72" t="n">
        <v>77.98824214971469</v>
      </c>
      <c r="J29" s="72" t="n">
        <v>77.88148335372379</v>
      </c>
      <c r="K29" s="72" t="n">
        <v>78.0162722023114</v>
      </c>
    </row>
    <row r="30" ht="15" customHeight="1" s="44">
      <c r="A30" s="48" t="n">
        <v>29</v>
      </c>
      <c r="B30" s="51" t="inlineStr">
        <is>
          <t>Maricopa</t>
        </is>
      </c>
      <c r="C30" s="70" t="n">
        <v>78.7476433744261</v>
      </c>
      <c r="D30" s="71" t="n">
        <v>0.732109686716479</v>
      </c>
      <c r="E30" s="51" t="inlineStr">
        <is>
          <t>72.0 / 83.5</t>
        </is>
      </c>
      <c r="F30" s="70" t="n">
        <v>77.451263025575</v>
      </c>
      <c r="G30" s="70" t="n">
        <v>80.460457000575</v>
      </c>
      <c r="H30" s="72" t="n">
        <v>77.39005636375551</v>
      </c>
      <c r="I30" s="72" t="n">
        <v>77.3033301432435</v>
      </c>
      <c r="J30" s="72" t="n">
        <v>77.151175323156</v>
      </c>
      <c r="K30" s="72" t="n">
        <v>77.3534733214253</v>
      </c>
    </row>
    <row r="31" ht="15" customHeight="1" s="44">
      <c r="A31" s="48" t="n">
        <v>30</v>
      </c>
      <c r="B31" s="51" t="inlineStr">
        <is>
          <t>Mohave</t>
        </is>
      </c>
      <c r="C31" s="70" t="n">
        <v>75.94561501727389</v>
      </c>
      <c r="D31" s="71" t="n">
        <v>0.878096126454313</v>
      </c>
      <c r="E31" s="51" t="inlineStr">
        <is>
          <t>61.8 / 86.0</t>
        </is>
      </c>
      <c r="F31" s="70" t="n">
        <v>72.8093754598162</v>
      </c>
      <c r="G31" s="70" t="n">
        <v>76.37647442106859</v>
      </c>
      <c r="H31" s="72" t="n">
        <v>72.7261807503324</v>
      </c>
      <c r="I31" s="72" t="n">
        <v>72.6084280845912</v>
      </c>
      <c r="J31" s="72" t="n">
        <v>72.40220605679561</v>
      </c>
      <c r="K31" s="72" t="n">
        <v>72.6790273480706</v>
      </c>
    </row>
    <row r="32" ht="15" customHeight="1" s="44">
      <c r="A32" s="63" t="n"/>
      <c r="B32" s="63" t="n"/>
      <c r="C32" s="63" t="n"/>
      <c r="D32" s="63" t="n"/>
      <c r="E32" s="63" t="n"/>
      <c r="F32" s="63" t="n"/>
      <c r="G32" s="63" t="n"/>
      <c r="H32" s="63" t="n"/>
      <c r="I32" s="63" t="n"/>
      <c r="J32" s="63" t="n"/>
      <c r="K32" s="63" t="n"/>
    </row>
    <row r="33" ht="15" customHeight="1" s="44">
      <c r="A33" s="63" t="n"/>
      <c r="B33" s="63" t="n"/>
      <c r="C33" s="63" t="n"/>
      <c r="D33" s="63" t="n"/>
      <c r="E33" s="63" t="n"/>
      <c r="F33" s="63" t="n"/>
      <c r="G33" s="63" t="n"/>
      <c r="H33" s="63" t="n"/>
      <c r="I33" s="63" t="n"/>
      <c r="J33" s="63" t="n"/>
      <c r="K33" s="63" t="n"/>
    </row>
    <row r="34" ht="45" customHeight="1" s="44">
      <c r="A34" s="50" t="inlineStr">
        <is>
          <t>County</t>
        </is>
      </c>
      <c r="B34" s="50" t="inlineStr">
        <is>
          <t>CHR 2025 life expectancy (NCHS 2020-2022)</t>
        </is>
      </c>
      <c r="C34" s="50" t="inlineStr">
        <is>
          <t>USALEEP 2010-2015 county mean (pop-weighted)</t>
        </is>
      </c>
      <c r="D34" s="50" t="inlineStr">
        <is>
          <t>Shift applied to every tract in county</t>
        </is>
      </c>
      <c r="E34" s="50" t="inlineStr">
        <is>
          <t>CHR 2021 life expectancy (NCHS 2017-2019)</t>
        </is>
      </c>
      <c r="F34" s="50" t="inlineStr">
        <is>
          <t>Shift (reference series)</t>
        </is>
      </c>
      <c r="G34" s="63" t="n"/>
      <c r="H34" s="63" t="n"/>
      <c r="I34" s="63" t="n"/>
      <c r="J34" s="63" t="n"/>
      <c r="K34" s="63" t="n"/>
    </row>
    <row r="35" ht="15" customHeight="1" s="44">
      <c r="A35" s="51" t="inlineStr">
        <is>
          <t>Apache</t>
        </is>
      </c>
      <c r="B35" s="72" t="n">
        <v>63.845346311</v>
      </c>
      <c r="C35" s="57" t="n">
        <v>75.7734963117796</v>
      </c>
      <c r="D35" s="57">
        <f>B35-C35</f>
        <v/>
      </c>
      <c r="E35" s="72" t="n">
        <v>73.099518695</v>
      </c>
      <c r="F35" s="57">
        <f>E35-C35</f>
        <v/>
      </c>
      <c r="G35" s="63" t="n"/>
      <c r="H35" s="63" t="n"/>
      <c r="I35" s="63" t="n"/>
      <c r="J35" s="63" t="n"/>
      <c r="K35" s="63" t="n"/>
    </row>
    <row r="36" ht="15" customHeight="1" s="44">
      <c r="A36" s="51" t="inlineStr">
        <is>
          <t>Cochise</t>
        </is>
      </c>
      <c r="B36" s="72" t="n">
        <v>76.089432366</v>
      </c>
      <c r="C36" s="57" t="n">
        <v>78.5581549854258</v>
      </c>
      <c r="D36" s="57">
        <f>B36-C36</f>
        <v/>
      </c>
      <c r="E36" s="72" t="n">
        <v>78.728997605</v>
      </c>
      <c r="F36" s="57">
        <f>E36-C36</f>
        <v/>
      </c>
      <c r="G36" s="63" t="n"/>
      <c r="H36" s="63" t="n"/>
      <c r="I36" s="63" t="n"/>
      <c r="J36" s="63" t="n"/>
      <c r="K36" s="63" t="n"/>
    </row>
    <row r="37" ht="15" customHeight="1" s="44">
      <c r="A37" s="51" t="inlineStr">
        <is>
          <t>Coconino</t>
        </is>
      </c>
      <c r="B37" s="72" t="n">
        <v>75.864470435</v>
      </c>
      <c r="C37" s="57" t="n">
        <v>78.8977326781083</v>
      </c>
      <c r="D37" s="57">
        <f>B37-C37</f>
        <v/>
      </c>
      <c r="E37" s="72" t="n">
        <v>79.120676202</v>
      </c>
      <c r="F37" s="57">
        <f>E37-C37</f>
        <v/>
      </c>
      <c r="G37" s="63" t="n"/>
      <c r="H37" s="63" t="n"/>
      <c r="I37" s="63" t="n"/>
      <c r="J37" s="63" t="n"/>
      <c r="K37" s="63" t="n"/>
    </row>
    <row r="38" ht="15" customHeight="1" s="44">
      <c r="A38" s="51" t="inlineStr">
        <is>
          <t>Gila</t>
        </is>
      </c>
      <c r="B38" s="72" t="n">
        <v>69.593726569</v>
      </c>
      <c r="C38" s="57" t="n">
        <v>78.0994256122657</v>
      </c>
      <c r="D38" s="57">
        <f>B38-C38</f>
        <v/>
      </c>
      <c r="E38" s="72" t="n">
        <v>74.321028719</v>
      </c>
      <c r="F38" s="57">
        <f>E38-C38</f>
        <v/>
      </c>
      <c r="G38" s="63" t="n"/>
      <c r="H38" s="63" t="n"/>
      <c r="I38" s="63" t="n"/>
      <c r="J38" s="63" t="n"/>
      <c r="K38" s="63" t="n"/>
    </row>
    <row r="39" ht="15" customHeight="1" s="44">
      <c r="A39" s="51" t="inlineStr">
        <is>
          <t>Graham</t>
        </is>
      </c>
      <c r="B39" s="72" t="n">
        <v>73.543255415</v>
      </c>
      <c r="C39" s="57" t="n">
        <v>78.3128279656398</v>
      </c>
      <c r="D39" s="57">
        <f>B39-C39</f>
        <v/>
      </c>
      <c r="E39" s="72" t="n">
        <v>77.709960944</v>
      </c>
      <c r="F39" s="57">
        <f>E39-C39</f>
        <v/>
      </c>
      <c r="G39" s="63" t="n"/>
      <c r="H39" s="63" t="n"/>
      <c r="I39" s="63" t="n"/>
      <c r="J39" s="63" t="n"/>
      <c r="K39" s="63" t="n"/>
    </row>
    <row r="40" ht="15" customHeight="1" s="44">
      <c r="A40" s="51" t="inlineStr">
        <is>
          <t>Greenlee</t>
        </is>
      </c>
      <c r="B40" s="72" t="n">
        <v>75.103455247</v>
      </c>
      <c r="C40" s="57" t="n">
        <v>82.9393319948896</v>
      </c>
      <c r="D40" s="57">
        <f>B40-C40</f>
        <v/>
      </c>
      <c r="E40" s="72" t="n">
        <v>81.003169378</v>
      </c>
      <c r="F40" s="57">
        <f>E40-C40</f>
        <v/>
      </c>
      <c r="G40" s="63" t="n"/>
      <c r="H40" s="63" t="n"/>
      <c r="I40" s="63" t="n"/>
      <c r="J40" s="63" t="n"/>
      <c r="K40" s="63" t="n"/>
    </row>
    <row r="41" ht="15" customHeight="1" s="44">
      <c r="A41" s="51" t="inlineStr">
        <is>
          <t>La Paz</t>
        </is>
      </c>
      <c r="B41" s="72" t="n">
        <v>69.32996247299999</v>
      </c>
      <c r="C41" s="57" t="n">
        <v>76.5118552829244</v>
      </c>
      <c r="D41" s="57">
        <f>B41-C41</f>
        <v/>
      </c>
      <c r="E41" s="72" t="n">
        <v>77.159997917</v>
      </c>
      <c r="F41" s="57">
        <f>E41-C41</f>
        <v/>
      </c>
      <c r="G41" s="63" t="n"/>
      <c r="H41" s="63" t="n"/>
      <c r="I41" s="63" t="n"/>
      <c r="J41" s="63" t="n"/>
      <c r="K41" s="63" t="n"/>
    </row>
    <row r="42" ht="15" customHeight="1" s="44">
      <c r="A42" s="51" t="inlineStr">
        <is>
          <t>Maricopa</t>
        </is>
      </c>
      <c r="B42" s="72" t="n">
        <v>77.470431797</v>
      </c>
      <c r="C42" s="57" t="n">
        <v>78.7668121458512</v>
      </c>
      <c r="D42" s="57">
        <f>B42-C42</f>
        <v/>
      </c>
      <c r="E42" s="72" t="n">
        <v>80.47962577200001</v>
      </c>
      <c r="F42" s="57">
        <f>E42-C42</f>
        <v/>
      </c>
      <c r="G42" s="63" t="n"/>
      <c r="H42" s="63" t="n"/>
      <c r="I42" s="63" t="n"/>
      <c r="J42" s="63" t="n"/>
      <c r="K42" s="63" t="n"/>
    </row>
    <row r="43" ht="15" customHeight="1" s="44">
      <c r="A43" s="51" t="inlineStr">
        <is>
          <t>Mohave</t>
        </is>
      </c>
      <c r="B43" s="72" t="n">
        <v>72.784224521</v>
      </c>
      <c r="C43" s="57" t="n">
        <v>75.65996212838481</v>
      </c>
      <c r="D43" s="57">
        <f>B43-C43</f>
        <v/>
      </c>
      <c r="E43" s="72" t="n">
        <v>76.01130637999999</v>
      </c>
      <c r="F43" s="57">
        <f>E43-C43</f>
        <v/>
      </c>
      <c r="G43" s="63" t="n"/>
      <c r="H43" s="63" t="n"/>
      <c r="I43" s="63" t="n"/>
      <c r="J43" s="63" t="n"/>
      <c r="K43" s="63" t="n"/>
    </row>
    <row r="44" ht="15" customHeight="1" s="44">
      <c r="A44" s="51" t="inlineStr">
        <is>
          <t>Navajo</t>
        </is>
      </c>
      <c r="B44" s="72" t="n">
        <v>67.131288084</v>
      </c>
      <c r="C44" s="57" t="n">
        <v>76.88046666666671</v>
      </c>
      <c r="D44" s="57">
        <f>B44-C44</f>
        <v/>
      </c>
      <c r="E44" s="72" t="n">
        <v>73.868616659</v>
      </c>
      <c r="F44" s="57">
        <f>E44-C44</f>
        <v/>
      </c>
      <c r="G44" s="63" t="n"/>
      <c r="H44" s="63" t="n"/>
      <c r="I44" s="63" t="n"/>
      <c r="J44" s="63" t="n"/>
      <c r="K44" s="63" t="n"/>
    </row>
    <row r="45" ht="15" customHeight="1" s="44">
      <c r="A45" s="51" t="inlineStr">
        <is>
          <t>Pima</t>
        </is>
      </c>
      <c r="B45" s="72" t="n">
        <v>76.485898854</v>
      </c>
      <c r="C45" s="57" t="n">
        <v>78.5699693698522</v>
      </c>
      <c r="D45" s="57">
        <f>B45-C45</f>
        <v/>
      </c>
      <c r="E45" s="72" t="n">
        <v>79.50835629300001</v>
      </c>
      <c r="F45" s="57">
        <f>E45-C45</f>
        <v/>
      </c>
      <c r="G45" s="63" t="n"/>
      <c r="H45" s="63" t="n"/>
      <c r="I45" s="63" t="n"/>
      <c r="J45" s="63" t="n"/>
      <c r="K45" s="63" t="n"/>
    </row>
    <row r="46" ht="15" customHeight="1" s="44">
      <c r="A46" s="51" t="inlineStr">
        <is>
          <t>Pinal</t>
        </is>
      </c>
      <c r="B46" s="72" t="n">
        <v>78.111967714</v>
      </c>
      <c r="C46" s="57" t="n">
        <v>79.3697609013191</v>
      </c>
      <c r="D46" s="57">
        <f>B46-C46</f>
        <v/>
      </c>
      <c r="E46" s="72" t="n">
        <v>82.577098443</v>
      </c>
      <c r="F46" s="57">
        <f>E46-C46</f>
        <v/>
      </c>
      <c r="G46" s="63" t="n"/>
      <c r="H46" s="63" t="n"/>
      <c r="I46" s="63" t="n"/>
      <c r="J46" s="63" t="n"/>
      <c r="K46" s="63" t="n"/>
    </row>
    <row r="47" ht="15" customHeight="1" s="44">
      <c r="A47" s="51" t="inlineStr">
        <is>
          <t>Santa Cruz</t>
        </is>
      </c>
      <c r="B47" s="72" t="n">
        <v>79.865502476</v>
      </c>
      <c r="C47" s="57" t="n">
        <v>81.6680207587688</v>
      </c>
      <c r="D47" s="57">
        <f>B47-C47</f>
        <v/>
      </c>
      <c r="E47" s="72" t="n">
        <v>83.085555066</v>
      </c>
      <c r="F47" s="57">
        <f>E47-C47</f>
        <v/>
      </c>
      <c r="G47" s="63" t="n"/>
      <c r="H47" s="63" t="n"/>
      <c r="I47" s="63" t="n"/>
      <c r="J47" s="63" t="n"/>
      <c r="K47" s="63" t="n"/>
    </row>
    <row r="48" ht="15" customHeight="1" s="44">
      <c r="A48" s="51" t="inlineStr">
        <is>
          <t>Yavapai</t>
        </is>
      </c>
      <c r="B48" s="72" t="n">
        <v>76.388259727</v>
      </c>
      <c r="C48" s="57" t="n">
        <v>78.8096049446868</v>
      </c>
      <c r="D48" s="57">
        <f>B48-C48</f>
        <v/>
      </c>
      <c r="E48" s="72" t="n">
        <v>78.973916516</v>
      </c>
      <c r="F48" s="57">
        <f>E48-C48</f>
        <v/>
      </c>
      <c r="G48" s="63" t="n"/>
      <c r="H48" s="63" t="n"/>
      <c r="I48" s="63" t="n"/>
      <c r="J48" s="63" t="n"/>
      <c r="K48" s="63" t="n"/>
    </row>
    <row r="49" ht="15" customHeight="1" s="44">
      <c r="A49" s="51" t="inlineStr">
        <is>
          <t>Yuma</t>
        </is>
      </c>
      <c r="B49" s="72" t="n">
        <v>77.788101404</v>
      </c>
      <c r="C49" s="57" t="n">
        <v>78.16991800649009</v>
      </c>
      <c r="D49" s="57">
        <f>B49-C49</f>
        <v/>
      </c>
      <c r="E49" s="72" t="n">
        <v>82.945159621</v>
      </c>
      <c r="F49" s="57">
        <f>E49-C49</f>
        <v/>
      </c>
      <c r="G49" s="63" t="n"/>
      <c r="H49" s="63" t="n"/>
      <c r="I49" s="63" t="n"/>
      <c r="J49" s="63" t="n"/>
      <c r="K49" s="63" t="n"/>
    </row>
    <row r="50" ht="15" customHeight="1" s="44">
      <c r="A50" s="63" t="n"/>
      <c r="B50" s="63" t="n"/>
      <c r="C50" s="63" t="n"/>
      <c r="D50" s="63" t="n"/>
      <c r="E50" s="63" t="n"/>
      <c r="F50" s="63" t="n"/>
      <c r="G50" s="63" t="n"/>
      <c r="H50" s="63" t="n"/>
      <c r="I50" s="63" t="n"/>
      <c r="J50" s="63" t="n"/>
      <c r="K50" s="63" t="n"/>
    </row>
    <row r="51" ht="109.5" customHeight="1" s="44">
      <c r="A51" s="46" t="inlineStr">
        <is>
          <t>Method: CDC/NCHS USALEEP census-tract life expectancy (2010-2015, 2010 tracts) is assigned to 2020 census blocks, shifted by a county constant so the county population-weighted mean equals the County Health Rankings 2025 value (NCHS deaths 2020-2022), and population-weighted to legislative districts over blocks with an estimate. Statewide result 76.73 matches NCHS Arizona 2022 (76.7). The 2020-2022 anchor embeds pandemic-period mortality — the drop is largest in Apache (-11.9 yrs vs USALEEP), Navajo (-9.8) and Gila (-8.5), affecting LDs 6 and 7. The 2017-2019 reference column uses the CHR 2021 series, whose statewide value (80.0) runs about 1.2 years above NCHS 2019 (78.8) because of method differences; use it only to gauge the pandemic effect, not as a baseline. New life expectancy = Arizona 2022 single-year life table (NCHS NVSR 74-12) scaled to the district baseline, with age-specific death rates at 19-64 raised by the district's additional deaths divided by its population in each age band (Chiang single-year method).</t>
        </is>
      </c>
    </row>
  </sheetData>
  <mergeCells count="1">
    <mergeCell ref="A51:K5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41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43" min="1" max="1"/>
    <col width="12" customWidth="1" style="43" min="2" max="3"/>
    <col width="14" customWidth="1" style="43" min="4" max="5"/>
    <col width="16" customWidth="1" style="43" min="6" max="6"/>
    <col width="12" customWidth="1" style="43" min="7" max="7"/>
    <col width="14" customWidth="1" style="43" min="8" max="8"/>
    <col width="60" customWidth="1" style="43" min="9" max="9"/>
  </cols>
  <sheetData>
    <row r="1" ht="45" customHeight="1" s="44">
      <c r="A1" s="50" t="inlineStr">
        <is>
          <t>ZCTA (ZIP Code Tabulation Area)</t>
        </is>
      </c>
      <c r="B1" s="50" t="inlineStr">
        <is>
          <t>Main county</t>
        </is>
      </c>
      <c r="C1" s="50" t="inlineStr">
        <is>
          <t>2020 population</t>
        </is>
      </c>
      <c r="D1" s="50" t="inlineStr">
        <is>
          <t>Share of population with a USALEEP estimate</t>
        </is>
      </c>
      <c r="E1" s="50" t="inlineStr">
        <is>
          <t>USALEEP life expectancy 2010-2015</t>
        </is>
      </c>
      <c r="F1" s="50" t="inlineStr">
        <is>
          <t>Life expectancy calibrated to 2020-2022 county level</t>
        </is>
      </c>
      <c r="G1" s="50" t="inlineStr">
        <is>
          <t>Primary legislative district</t>
        </is>
      </c>
      <c r="H1" s="50" t="inlineStr">
        <is>
          <t>Share of ZCTA population in primary LD</t>
        </is>
      </c>
      <c r="I1" s="50" t="inlineStr">
        <is>
          <t>All overlapping LDs (&gt;=2% of ZCTA population)</t>
        </is>
      </c>
    </row>
    <row r="2" ht="15" customHeight="1" s="44">
      <c r="A2" s="51" t="inlineStr">
        <is>
          <t>84531</t>
        </is>
      </c>
      <c r="B2" s="51" t="inlineStr">
        <is>
          <t>Apache</t>
        </is>
      </c>
      <c r="C2" s="53" t="n">
        <v>9</v>
      </c>
      <c r="D2" s="73" t="n">
        <v>1</v>
      </c>
      <c r="E2" s="70" t="n">
        <v>75.09999999999999</v>
      </c>
      <c r="F2" s="70" t="n">
        <v>63.1718499992204</v>
      </c>
      <c r="G2" s="51" t="n">
        <v>6</v>
      </c>
      <c r="H2" s="73" t="n">
        <v>1</v>
      </c>
      <c r="I2" s="51" t="inlineStr">
        <is>
          <t>LD6 (100%)</t>
        </is>
      </c>
    </row>
    <row r="3" ht="15" customHeight="1" s="44">
      <c r="A3" s="51" t="inlineStr">
        <is>
          <t>84536</t>
        </is>
      </c>
      <c r="B3" s="51" t="inlineStr">
        <is>
          <t>Navajo</t>
        </is>
      </c>
      <c r="C3" s="53" t="n">
        <v>117</v>
      </c>
      <c r="D3" s="73" t="n">
        <v>1</v>
      </c>
      <c r="E3" s="70" t="n">
        <v>75.09999999999999</v>
      </c>
      <c r="F3" s="70" t="n">
        <v>65.35082141733329</v>
      </c>
      <c r="G3" s="51" t="n">
        <v>6</v>
      </c>
      <c r="H3" s="73" t="n">
        <v>1</v>
      </c>
      <c r="I3" s="51" t="inlineStr">
        <is>
          <t>LD6 (100%)</t>
        </is>
      </c>
    </row>
    <row r="4" ht="15" customHeight="1" s="44">
      <c r="A4" s="51" t="inlineStr">
        <is>
          <t>85003</t>
        </is>
      </c>
      <c r="B4" s="51" t="inlineStr">
        <is>
          <t>Maricopa</t>
        </is>
      </c>
      <c r="C4" s="53" t="n">
        <v>11042</v>
      </c>
      <c r="D4" s="73" t="n">
        <v>0.435428364426734</v>
      </c>
      <c r="E4" s="70" t="n">
        <v>78.3105449251248</v>
      </c>
      <c r="F4" s="70" t="n">
        <v>77.0141645762736</v>
      </c>
      <c r="G4" s="51" t="n">
        <v>5</v>
      </c>
      <c r="H4" s="73" t="n">
        <v>0.515486324941134</v>
      </c>
      <c r="I4" s="51" t="inlineStr">
        <is>
          <t>LD5 (52%); LD11 (48%)</t>
        </is>
      </c>
    </row>
    <row r="5" ht="15" customHeight="1" s="44">
      <c r="A5" s="51" t="inlineStr">
        <is>
          <t>85004</t>
        </is>
      </c>
      <c r="B5" s="51" t="inlineStr">
        <is>
          <t>Maricopa</t>
        </is>
      </c>
      <c r="C5" s="53" t="n">
        <v>8833</v>
      </c>
      <c r="D5" s="73" t="n">
        <v>0.368391260047549</v>
      </c>
      <c r="E5" s="70" t="n">
        <v>78.1699446834665</v>
      </c>
      <c r="F5" s="70" t="n">
        <v>76.8735643346153</v>
      </c>
      <c r="G5" s="51" t="n">
        <v>5</v>
      </c>
      <c r="H5" s="73" t="n">
        <v>0.833012566511944</v>
      </c>
      <c r="I5" s="51" t="inlineStr">
        <is>
          <t>LD5 (83%); LD11 (17%)</t>
        </is>
      </c>
    </row>
    <row r="6" ht="15" customHeight="1" s="44">
      <c r="A6" s="51" t="inlineStr">
        <is>
          <t>85006</t>
        </is>
      </c>
      <c r="B6" s="51" t="inlineStr">
        <is>
          <t>Maricopa</t>
        </is>
      </c>
      <c r="C6" s="53" t="n">
        <v>23797</v>
      </c>
      <c r="D6" s="73" t="n">
        <v>0.865823423120561</v>
      </c>
      <c r="E6" s="70" t="n">
        <v>76.00555231993791</v>
      </c>
      <c r="F6" s="70" t="n">
        <v>74.7091719710867</v>
      </c>
      <c r="G6" s="51" t="n">
        <v>5</v>
      </c>
      <c r="H6" s="73" t="n">
        <v>0.929949153254612</v>
      </c>
      <c r="I6" s="51" t="inlineStr">
        <is>
          <t>LD5 (93%); LD11 (7%)</t>
        </is>
      </c>
    </row>
    <row r="7" ht="15" customHeight="1" s="44">
      <c r="A7" s="51" t="inlineStr">
        <is>
          <t>85007</t>
        </is>
      </c>
      <c r="B7" s="51" t="inlineStr">
        <is>
          <t>Maricopa</t>
        </is>
      </c>
      <c r="C7" s="53" t="n">
        <v>14442</v>
      </c>
      <c r="D7" s="73" t="n">
        <v>0.595000692424872</v>
      </c>
      <c r="E7" s="70" t="n">
        <v>74.71651344117311</v>
      </c>
      <c r="F7" s="70" t="n">
        <v>73.4201330923219</v>
      </c>
      <c r="G7" s="51" t="n">
        <v>11</v>
      </c>
      <c r="H7" s="73" t="n">
        <v>0.514125467386789</v>
      </c>
      <c r="I7" s="51" t="inlineStr">
        <is>
          <t>LD11 (51%); LD5 (49%)</t>
        </is>
      </c>
    </row>
    <row r="8" ht="15" customHeight="1" s="44">
      <c r="A8" s="51" t="inlineStr">
        <is>
          <t>85008</t>
        </is>
      </c>
      <c r="B8" s="51" t="inlineStr">
        <is>
          <t>Maricopa</t>
        </is>
      </c>
      <c r="C8" s="53" t="n">
        <v>59047</v>
      </c>
      <c r="D8" s="73" t="n">
        <v>0.698071028164005</v>
      </c>
      <c r="E8" s="70" t="n">
        <v>76.61356655911111</v>
      </c>
      <c r="F8" s="70" t="n">
        <v>75.31718621025991</v>
      </c>
      <c r="G8" s="51" t="n">
        <v>8</v>
      </c>
      <c r="H8" s="73" t="n">
        <v>0.605551509814216</v>
      </c>
      <c r="I8" s="51" t="inlineStr">
        <is>
          <t>LD8 (61%); LD5 (35%); LD11 (5%)</t>
        </is>
      </c>
    </row>
    <row r="9" ht="15" customHeight="1" s="44">
      <c r="A9" s="51" t="inlineStr">
        <is>
          <t>85009</t>
        </is>
      </c>
      <c r="B9" s="51" t="inlineStr">
        <is>
          <t>Maricopa</t>
        </is>
      </c>
      <c r="C9" s="53" t="n">
        <v>50439</v>
      </c>
      <c r="D9" s="73" t="n">
        <v>0.99978191478816</v>
      </c>
      <c r="E9" s="70" t="n">
        <v>76.0174545887205</v>
      </c>
      <c r="F9" s="70" t="n">
        <v>74.7210742398694</v>
      </c>
      <c r="G9" s="51" t="n">
        <v>26</v>
      </c>
      <c r="H9" s="73" t="n">
        <v>0.64862507186899</v>
      </c>
      <c r="I9" s="51" t="inlineStr">
        <is>
          <t>LD26 (65%); LD11 (34%)</t>
        </is>
      </c>
    </row>
    <row r="10" ht="15" customHeight="1" s="44">
      <c r="A10" s="51" t="inlineStr">
        <is>
          <t>85012</t>
        </is>
      </c>
      <c r="B10" s="51" t="inlineStr">
        <is>
          <t>Maricopa</t>
        </is>
      </c>
      <c r="C10" s="53" t="n">
        <v>8201</v>
      </c>
      <c r="D10" s="73" t="n">
        <v>1</v>
      </c>
      <c r="E10" s="70" t="n">
        <v>76.4334959151323</v>
      </c>
      <c r="F10" s="70" t="n">
        <v>75.1371155662811</v>
      </c>
      <c r="G10" s="51" t="n">
        <v>5</v>
      </c>
      <c r="H10" s="73" t="n">
        <v>1</v>
      </c>
      <c r="I10" s="51" t="inlineStr">
        <is>
          <t>LD5 (100%)</t>
        </is>
      </c>
    </row>
    <row r="11" ht="15" customHeight="1" s="44">
      <c r="A11" s="51" t="inlineStr">
        <is>
          <t>85013</t>
        </is>
      </c>
      <c r="B11" s="51" t="inlineStr">
        <is>
          <t>Maricopa</t>
        </is>
      </c>
      <c r="C11" s="53" t="n">
        <v>21970</v>
      </c>
      <c r="D11" s="73" t="n">
        <v>1</v>
      </c>
      <c r="E11" s="70" t="n">
        <v>74.5487164314975</v>
      </c>
      <c r="F11" s="70" t="n">
        <v>73.25233608264629</v>
      </c>
      <c r="G11" s="51" t="n">
        <v>5</v>
      </c>
      <c r="H11" s="73" t="n">
        <v>0.915566681838871</v>
      </c>
      <c r="I11" s="51" t="inlineStr">
        <is>
          <t>LD5 (92%); LD26 (8%)</t>
        </is>
      </c>
    </row>
    <row r="12" ht="15" customHeight="1" s="44">
      <c r="A12" s="51" t="inlineStr">
        <is>
          <t>85014</t>
        </is>
      </c>
      <c r="B12" s="51" t="inlineStr">
        <is>
          <t>Maricopa</t>
        </is>
      </c>
      <c r="C12" s="53" t="n">
        <v>26381</v>
      </c>
      <c r="D12" s="73" t="n">
        <v>0.90739547401539</v>
      </c>
      <c r="E12" s="70" t="n">
        <v>77.6228757623862</v>
      </c>
      <c r="F12" s="70" t="n">
        <v>76.326495413535</v>
      </c>
      <c r="G12" s="51" t="n">
        <v>5</v>
      </c>
      <c r="H12" s="73" t="n">
        <v>1</v>
      </c>
      <c r="I12" s="51" t="inlineStr">
        <is>
          <t>LD5 (100%)</t>
        </is>
      </c>
    </row>
    <row r="13" ht="15" customHeight="1" s="44">
      <c r="A13" s="51" t="inlineStr">
        <is>
          <t>85015</t>
        </is>
      </c>
      <c r="B13" s="51" t="inlineStr">
        <is>
          <t>Maricopa</t>
        </is>
      </c>
      <c r="C13" s="53" t="n">
        <v>41436</v>
      </c>
      <c r="D13" s="73" t="n">
        <v>1</v>
      </c>
      <c r="E13" s="70" t="n">
        <v>75.74758181291629</v>
      </c>
      <c r="F13" s="70" t="n">
        <v>74.45120146406509</v>
      </c>
      <c r="G13" s="51" t="n">
        <v>26</v>
      </c>
      <c r="H13" s="73" t="n">
        <v>0.719157254561251</v>
      </c>
      <c r="I13" s="51" t="inlineStr">
        <is>
          <t>LD26 (72%); LD5 (28%)</t>
        </is>
      </c>
    </row>
    <row r="14" ht="15" customHeight="1" s="44">
      <c r="A14" s="51" t="inlineStr">
        <is>
          <t>85016</t>
        </is>
      </c>
      <c r="B14" s="51" t="inlineStr">
        <is>
          <t>Maricopa</t>
        </is>
      </c>
      <c r="C14" s="53" t="n">
        <v>37326</v>
      </c>
      <c r="D14" s="73" t="n">
        <v>0.9310132347425391</v>
      </c>
      <c r="E14" s="70" t="n">
        <v>77.7869500158269</v>
      </c>
      <c r="F14" s="70" t="n">
        <v>76.4905696669757</v>
      </c>
      <c r="G14" s="51" t="n">
        <v>5</v>
      </c>
      <c r="H14" s="73" t="n">
        <v>0.72201682473343</v>
      </c>
      <c r="I14" s="51" t="inlineStr">
        <is>
          <t>LD5 (72%); LD4 (28%)</t>
        </is>
      </c>
    </row>
    <row r="15" ht="15" customHeight="1" s="44">
      <c r="A15" s="51" t="inlineStr">
        <is>
          <t>85017</t>
        </is>
      </c>
      <c r="B15" s="51" t="inlineStr">
        <is>
          <t>Maricopa</t>
        </is>
      </c>
      <c r="C15" s="53" t="n">
        <v>45279</v>
      </c>
      <c r="D15" s="73" t="n">
        <v>0.944941363546015</v>
      </c>
      <c r="E15" s="70" t="n">
        <v>76.11103164586549</v>
      </c>
      <c r="F15" s="70" t="n">
        <v>74.81465129701429</v>
      </c>
      <c r="G15" s="51" t="n">
        <v>26</v>
      </c>
      <c r="H15" s="73" t="n">
        <v>1</v>
      </c>
      <c r="I15" s="51" t="inlineStr">
        <is>
          <t>LD26 (100%)</t>
        </is>
      </c>
    </row>
    <row r="16" ht="15" customHeight="1" s="44">
      <c r="A16" s="51" t="inlineStr">
        <is>
          <t>85018</t>
        </is>
      </c>
      <c r="B16" s="51" t="inlineStr">
        <is>
          <t>Maricopa</t>
        </is>
      </c>
      <c r="C16" s="53" t="n">
        <v>37944</v>
      </c>
      <c r="D16" s="73" t="n">
        <v>0.903515707358212</v>
      </c>
      <c r="E16" s="70" t="n">
        <v>79.2014905346673</v>
      </c>
      <c r="F16" s="70" t="n">
        <v>77.9051101858161</v>
      </c>
      <c r="G16" s="51" t="n">
        <v>4</v>
      </c>
      <c r="H16" s="73" t="n">
        <v>0.393685431161712</v>
      </c>
      <c r="I16" s="51" t="inlineStr">
        <is>
          <t>LD4 (39%); LD5 (32%); LD8 (29%)</t>
        </is>
      </c>
    </row>
    <row r="17" ht="15" customHeight="1" s="44">
      <c r="A17" s="51" t="inlineStr">
        <is>
          <t>85019</t>
        </is>
      </c>
      <c r="B17" s="51" t="inlineStr">
        <is>
          <t>Maricopa</t>
        </is>
      </c>
      <c r="C17" s="53" t="n">
        <v>27677</v>
      </c>
      <c r="D17" s="73" t="n">
        <v>1</v>
      </c>
      <c r="E17" s="70" t="n">
        <v>76.66772048993749</v>
      </c>
      <c r="F17" s="70" t="n">
        <v>75.37134014108631</v>
      </c>
      <c r="G17" s="51" t="n">
        <v>26</v>
      </c>
      <c r="H17" s="73" t="n">
        <v>1</v>
      </c>
      <c r="I17" s="51" t="inlineStr">
        <is>
          <t>LD26 (100%)</t>
        </is>
      </c>
    </row>
    <row r="18" ht="15" customHeight="1" s="44">
      <c r="A18" s="51" t="inlineStr">
        <is>
          <t>85020</t>
        </is>
      </c>
      <c r="B18" s="51" t="inlineStr">
        <is>
          <t>Maricopa</t>
        </is>
      </c>
      <c r="C18" s="53" t="n">
        <v>34534</v>
      </c>
      <c r="D18" s="73" t="n">
        <v>1</v>
      </c>
      <c r="E18" s="70" t="n">
        <v>77.8813864597209</v>
      </c>
      <c r="F18" s="70" t="n">
        <v>76.5850061108697</v>
      </c>
      <c r="G18" s="51" t="n">
        <v>5</v>
      </c>
      <c r="H18" s="73" t="n">
        <v>0.8870678172236059</v>
      </c>
      <c r="I18" s="51" t="inlineStr">
        <is>
          <t>LD5 (89%); LD4 (11%)</t>
        </is>
      </c>
    </row>
    <row r="19" ht="15" customHeight="1" s="44">
      <c r="A19" s="51" t="inlineStr">
        <is>
          <t>85021</t>
        </is>
      </c>
      <c r="B19" s="51" t="inlineStr">
        <is>
          <t>Maricopa</t>
        </is>
      </c>
      <c r="C19" s="53" t="n">
        <v>40943</v>
      </c>
      <c r="D19" s="73" t="n">
        <v>0.859560852893046</v>
      </c>
      <c r="E19" s="70" t="n">
        <v>76.3305657375046</v>
      </c>
      <c r="F19" s="70" t="n">
        <v>75.0341853886534</v>
      </c>
      <c r="G19" s="51" t="n">
        <v>5</v>
      </c>
      <c r="H19" s="73" t="n">
        <v>0.717289890823828</v>
      </c>
      <c r="I19" s="51" t="inlineStr">
        <is>
          <t>LD5 (72%); LD26 (28%)</t>
        </is>
      </c>
    </row>
    <row r="20" ht="15" customHeight="1" s="44">
      <c r="A20" s="51" t="inlineStr">
        <is>
          <t>85022</t>
        </is>
      </c>
      <c r="B20" s="51" t="inlineStr">
        <is>
          <t>Maricopa</t>
        </is>
      </c>
      <c r="C20" s="53" t="n">
        <v>51314</v>
      </c>
      <c r="D20" s="73" t="n">
        <v>1</v>
      </c>
      <c r="E20" s="70" t="n">
        <v>78.56799119148771</v>
      </c>
      <c r="F20" s="70" t="n">
        <v>77.27161084263651</v>
      </c>
      <c r="G20" s="51" t="n">
        <v>2</v>
      </c>
      <c r="H20" s="73" t="n">
        <v>0.994816229489028</v>
      </c>
      <c r="I20" s="51" t="inlineStr">
        <is>
          <t>LD2 (99%)</t>
        </is>
      </c>
    </row>
    <row r="21" ht="15" customHeight="1" s="44">
      <c r="A21" s="51" t="inlineStr">
        <is>
          <t>85023</t>
        </is>
      </c>
      <c r="B21" s="51" t="inlineStr">
        <is>
          <t>Maricopa</t>
        </is>
      </c>
      <c r="C21" s="53" t="n">
        <v>35241</v>
      </c>
      <c r="D21" s="73" t="n">
        <v>1</v>
      </c>
      <c r="E21" s="70" t="n">
        <v>78.27301154904799</v>
      </c>
      <c r="F21" s="70" t="n">
        <v>76.97663120019681</v>
      </c>
      <c r="G21" s="51" t="n">
        <v>2</v>
      </c>
      <c r="H21" s="73" t="n">
        <v>1</v>
      </c>
      <c r="I21" s="51" t="inlineStr">
        <is>
          <t>LD2 (100%)</t>
        </is>
      </c>
    </row>
    <row r="22" ht="15" customHeight="1" s="44">
      <c r="A22" s="51" t="inlineStr">
        <is>
          <t>85024</t>
        </is>
      </c>
      <c r="B22" s="51" t="inlineStr">
        <is>
          <t>Maricopa</t>
        </is>
      </c>
      <c r="C22" s="53" t="n">
        <v>26021</v>
      </c>
      <c r="D22" s="73" t="n">
        <v>0.6976288382460319</v>
      </c>
      <c r="E22" s="70" t="n">
        <v>79.2878477386658</v>
      </c>
      <c r="F22" s="70" t="n">
        <v>77.9914673898146</v>
      </c>
      <c r="G22" s="51" t="n">
        <v>2</v>
      </c>
      <c r="H22" s="73" t="n">
        <v>1</v>
      </c>
      <c r="I22" s="51" t="inlineStr">
        <is>
          <t>LD2 (100%)</t>
        </is>
      </c>
    </row>
    <row r="23" ht="15" customHeight="1" s="44">
      <c r="A23" s="51" t="inlineStr">
        <is>
          <t>85027</t>
        </is>
      </c>
      <c r="B23" s="51" t="inlineStr">
        <is>
          <t>Maricopa</t>
        </is>
      </c>
      <c r="C23" s="53" t="n">
        <v>38343</v>
      </c>
      <c r="D23" s="73" t="n">
        <v>1</v>
      </c>
      <c r="E23" s="70" t="n">
        <v>78.5496622590825</v>
      </c>
      <c r="F23" s="70" t="n">
        <v>77.25328191023129</v>
      </c>
      <c r="G23" s="51" t="n">
        <v>2</v>
      </c>
      <c r="H23" s="73" t="n">
        <v>0.960436063949091</v>
      </c>
      <c r="I23" s="51" t="inlineStr">
        <is>
          <t>LD2 (96%); LD27 (4%)</t>
        </is>
      </c>
    </row>
    <row r="24" ht="15" customHeight="1" s="44">
      <c r="A24" s="51" t="inlineStr">
        <is>
          <t>85028</t>
        </is>
      </c>
      <c r="B24" s="51" t="inlineStr">
        <is>
          <t>Maricopa</t>
        </is>
      </c>
      <c r="C24" s="53" t="n">
        <v>19888</v>
      </c>
      <c r="D24" s="73" t="n">
        <v>1</v>
      </c>
      <c r="E24" s="70" t="n">
        <v>81.32330551086081</v>
      </c>
      <c r="F24" s="70" t="n">
        <v>80.0269251620097</v>
      </c>
      <c r="G24" s="51" t="n">
        <v>4</v>
      </c>
      <c r="H24" s="73" t="n">
        <v>0.755028157683025</v>
      </c>
      <c r="I24" s="51" t="inlineStr">
        <is>
          <t>LD4 (76%); LD5 (24%)</t>
        </is>
      </c>
    </row>
    <row r="25" ht="15" customHeight="1" s="44">
      <c r="A25" s="51" t="inlineStr">
        <is>
          <t>85029</t>
        </is>
      </c>
      <c r="B25" s="51" t="inlineStr">
        <is>
          <t>Maricopa</t>
        </is>
      </c>
      <c r="C25" s="53" t="n">
        <v>47101</v>
      </c>
      <c r="D25" s="73" t="n">
        <v>1</v>
      </c>
      <c r="E25" s="70" t="n">
        <v>76.26744442793149</v>
      </c>
      <c r="F25" s="70" t="n">
        <v>74.97106407908031</v>
      </c>
      <c r="G25" s="51" t="n">
        <v>27</v>
      </c>
      <c r="H25" s="73" t="n">
        <v>0.828496210271544</v>
      </c>
      <c r="I25" s="51" t="inlineStr">
        <is>
          <t>LD27 (83%); LD5 (12%); LD2 (5%)</t>
        </is>
      </c>
    </row>
    <row r="26" ht="15" customHeight="1" s="44">
      <c r="A26" s="51" t="inlineStr">
        <is>
          <t>85031</t>
        </is>
      </c>
      <c r="B26" s="51" t="inlineStr">
        <is>
          <t>Maricopa</t>
        </is>
      </c>
      <c r="C26" s="53" t="n">
        <v>31162</v>
      </c>
      <c r="D26" s="73" t="n">
        <v>1</v>
      </c>
      <c r="E26" s="70" t="n">
        <v>76.496097811437</v>
      </c>
      <c r="F26" s="70" t="n">
        <v>75.1997174625858</v>
      </c>
      <c r="G26" s="51" t="n">
        <v>24</v>
      </c>
      <c r="H26" s="73" t="n">
        <v>0.519992298312047</v>
      </c>
      <c r="I26" s="51" t="inlineStr">
        <is>
          <t>LD24 (52%); LD26 (48%)</t>
        </is>
      </c>
    </row>
    <row r="27" ht="15" customHeight="1" s="44">
      <c r="A27" s="51" t="inlineStr">
        <is>
          <t>85032</t>
        </is>
      </c>
      <c r="B27" s="51" t="inlineStr">
        <is>
          <t>Maricopa</t>
        </is>
      </c>
      <c r="C27" s="53" t="n">
        <v>68710</v>
      </c>
      <c r="D27" s="73" t="n">
        <v>1</v>
      </c>
      <c r="E27" s="70" t="n">
        <v>77.8187789259205</v>
      </c>
      <c r="F27" s="70" t="n">
        <v>76.5223985770693</v>
      </c>
      <c r="G27" s="51" t="n">
        <v>4</v>
      </c>
      <c r="H27" s="73" t="n">
        <v>0.627186726822879</v>
      </c>
      <c r="I27" s="51" t="inlineStr">
        <is>
          <t>LD4 (63%); LD2 (37%)</t>
        </is>
      </c>
    </row>
    <row r="28" ht="15" customHeight="1" s="44">
      <c r="A28" s="51" t="inlineStr">
        <is>
          <t>85033</t>
        </is>
      </c>
      <c r="B28" s="51" t="inlineStr">
        <is>
          <t>Maricopa</t>
        </is>
      </c>
      <c r="C28" s="53" t="n">
        <v>57980</v>
      </c>
      <c r="D28" s="73" t="n">
        <v>0.73582269748189</v>
      </c>
      <c r="E28" s="70" t="n">
        <v>76.9615310690762</v>
      </c>
      <c r="F28" s="70" t="n">
        <v>75.6651507202251</v>
      </c>
      <c r="G28" s="51" t="n">
        <v>24</v>
      </c>
      <c r="H28" s="73" t="n">
        <v>0.987030010348396</v>
      </c>
      <c r="I28" s="51" t="inlineStr">
        <is>
          <t>LD24 (99%)</t>
        </is>
      </c>
    </row>
    <row r="29" ht="15" customHeight="1" s="44">
      <c r="A29" s="51" t="inlineStr">
        <is>
          <t>85034</t>
        </is>
      </c>
      <c r="B29" s="51" t="inlineStr">
        <is>
          <t>Maricopa</t>
        </is>
      </c>
      <c r="C29" s="53" t="n">
        <v>5033</v>
      </c>
      <c r="D29" s="73" t="n">
        <v>0.188158156169283</v>
      </c>
      <c r="E29" s="70" t="n">
        <v>67.7</v>
      </c>
      <c r="F29" s="70" t="n">
        <v>66.4036196511488</v>
      </c>
      <c r="G29" s="51" t="n">
        <v>11</v>
      </c>
      <c r="H29" s="73" t="n">
        <v>0.887343532684284</v>
      </c>
      <c r="I29" s="51" t="inlineStr">
        <is>
          <t>LD11 (89%); LD8 (11%)</t>
        </is>
      </c>
    </row>
    <row r="30" ht="15" customHeight="1" s="44">
      <c r="A30" s="51" t="inlineStr">
        <is>
          <t>85035</t>
        </is>
      </c>
      <c r="B30" s="51" t="inlineStr">
        <is>
          <t>Maricopa</t>
        </is>
      </c>
      <c r="C30" s="53" t="n">
        <v>51441</v>
      </c>
      <c r="D30" s="73" t="n">
        <v>0.790420092921988</v>
      </c>
      <c r="E30" s="70" t="n">
        <v>76.8821962616822</v>
      </c>
      <c r="F30" s="70" t="n">
        <v>75.58581591283109</v>
      </c>
      <c r="G30" s="51" t="n">
        <v>24</v>
      </c>
      <c r="H30" s="73" t="n">
        <v>0.652689488929064</v>
      </c>
      <c r="I30" s="51" t="inlineStr">
        <is>
          <t>LD24 (65%); LD26 (21%); LD22 (14%)</t>
        </is>
      </c>
    </row>
    <row r="31" ht="15" customHeight="1" s="44">
      <c r="A31" s="51" t="inlineStr">
        <is>
          <t>85037</t>
        </is>
      </c>
      <c r="B31" s="51" t="inlineStr">
        <is>
          <t>Maricopa</t>
        </is>
      </c>
      <c r="C31" s="53" t="n">
        <v>50929</v>
      </c>
      <c r="D31" s="73" t="n">
        <v>0.597498478273675</v>
      </c>
      <c r="E31" s="70" t="n">
        <v>77.0237627341439</v>
      </c>
      <c r="F31" s="70" t="n">
        <v>75.7273823852928</v>
      </c>
      <c r="G31" s="51" t="n">
        <v>22</v>
      </c>
      <c r="H31" s="73" t="n">
        <v>1</v>
      </c>
      <c r="I31" s="51" t="inlineStr">
        <is>
          <t>LD22 (100%)</t>
        </is>
      </c>
    </row>
    <row r="32" ht="15" customHeight="1" s="44">
      <c r="A32" s="51" t="inlineStr">
        <is>
          <t>85040</t>
        </is>
      </c>
      <c r="B32" s="51" t="inlineStr">
        <is>
          <t>Maricopa</t>
        </is>
      </c>
      <c r="C32" s="53" t="n">
        <v>33993</v>
      </c>
      <c r="D32" s="73" t="n">
        <v>0.900361839202189</v>
      </c>
      <c r="E32" s="70" t="n">
        <v>75.2618702215252</v>
      </c>
      <c r="F32" s="70" t="n">
        <v>73.965489872674</v>
      </c>
      <c r="G32" s="51" t="n">
        <v>11</v>
      </c>
      <c r="H32" s="73" t="n">
        <v>1</v>
      </c>
      <c r="I32" s="51" t="inlineStr">
        <is>
          <t>LD11 (100%)</t>
        </is>
      </c>
    </row>
    <row r="33" ht="15" customHeight="1" s="44">
      <c r="A33" s="51" t="inlineStr">
        <is>
          <t>85041</t>
        </is>
      </c>
      <c r="B33" s="51" t="inlineStr">
        <is>
          <t>Maricopa</t>
        </is>
      </c>
      <c r="C33" s="53" t="n">
        <v>64639</v>
      </c>
      <c r="D33" s="73" t="n">
        <v>0.804251303392689</v>
      </c>
      <c r="E33" s="70" t="n">
        <v>75.8678548070634</v>
      </c>
      <c r="F33" s="70" t="n">
        <v>74.57147445821229</v>
      </c>
      <c r="G33" s="51" t="n">
        <v>11</v>
      </c>
      <c r="H33" s="73" t="n">
        <v>1</v>
      </c>
      <c r="I33" s="51" t="inlineStr">
        <is>
          <t>LD11 (100%)</t>
        </is>
      </c>
    </row>
    <row r="34" ht="15" customHeight="1" s="44">
      <c r="A34" s="51" t="inlineStr">
        <is>
          <t>85042</t>
        </is>
      </c>
      <c r="B34" s="51" t="inlineStr">
        <is>
          <t>Maricopa</t>
        </is>
      </c>
      <c r="C34" s="53" t="n">
        <v>45433</v>
      </c>
      <c r="D34" s="73" t="n">
        <v>0.9879602931789671</v>
      </c>
      <c r="E34" s="70" t="n">
        <v>77.0442944347903</v>
      </c>
      <c r="F34" s="70" t="n">
        <v>75.7479140859392</v>
      </c>
      <c r="G34" s="51" t="n">
        <v>11</v>
      </c>
      <c r="H34" s="73" t="n">
        <v>1</v>
      </c>
      <c r="I34" s="51" t="inlineStr">
        <is>
          <t>LD11 (100%)</t>
        </is>
      </c>
    </row>
    <row r="35" ht="15" customHeight="1" s="44">
      <c r="A35" s="51" t="inlineStr">
        <is>
          <t>85043</t>
        </is>
      </c>
      <c r="B35" s="51" t="inlineStr">
        <is>
          <t>Maricopa</t>
        </is>
      </c>
      <c r="C35" s="53" t="n">
        <v>35800</v>
      </c>
      <c r="D35" s="73" t="n">
        <v>0.50659217877095</v>
      </c>
      <c r="E35" s="70" t="n">
        <v>78.3053264225849</v>
      </c>
      <c r="F35" s="70" t="n">
        <v>77.0089460737337</v>
      </c>
      <c r="G35" s="51" t="n">
        <v>22</v>
      </c>
      <c r="H35" s="73" t="n">
        <v>0.968715083798883</v>
      </c>
      <c r="I35" s="51" t="inlineStr">
        <is>
          <t>LD22 (97%); LD24 (3%)</t>
        </is>
      </c>
    </row>
    <row r="36" ht="15" customHeight="1" s="44">
      <c r="A36" s="51" t="inlineStr">
        <is>
          <t>85044</t>
        </is>
      </c>
      <c r="B36" s="51" t="inlineStr">
        <is>
          <t>Maricopa</t>
        </is>
      </c>
      <c r="C36" s="53" t="n">
        <v>39559</v>
      </c>
      <c r="D36" s="73" t="n">
        <v>0.834348694355267</v>
      </c>
      <c r="E36" s="70" t="n">
        <v>81.8198933527237</v>
      </c>
      <c r="F36" s="70" t="n">
        <v>80.52351300387259</v>
      </c>
      <c r="G36" s="51" t="n">
        <v>12</v>
      </c>
      <c r="H36" s="73" t="n">
        <v>0.960059657726434</v>
      </c>
      <c r="I36" s="51" t="inlineStr">
        <is>
          <t>LD12 (96%); LD11 (4%)</t>
        </is>
      </c>
    </row>
    <row r="37" ht="15" customHeight="1" s="44">
      <c r="A37" s="51" t="inlineStr">
        <is>
          <t>85045</t>
        </is>
      </c>
      <c r="B37" s="51" t="inlineStr">
        <is>
          <t>Maricopa</t>
        </is>
      </c>
      <c r="C37" s="53" t="n">
        <v>8090</v>
      </c>
      <c r="D37" s="73" t="n">
        <v>0.813720642768851</v>
      </c>
      <c r="E37" s="70" t="n">
        <v>81.7719580738265</v>
      </c>
      <c r="F37" s="70" t="n">
        <v>80.4755777249753</v>
      </c>
      <c r="G37" s="51" t="n">
        <v>12</v>
      </c>
      <c r="H37" s="73" t="n">
        <v>1</v>
      </c>
      <c r="I37" s="51" t="inlineStr">
        <is>
          <t>LD12 (100%)</t>
        </is>
      </c>
    </row>
    <row r="38" ht="15" customHeight="1" s="44">
      <c r="A38" s="51" t="inlineStr">
        <is>
          <t>85048</t>
        </is>
      </c>
      <c r="B38" s="51" t="inlineStr">
        <is>
          <t>Maricopa</t>
        </is>
      </c>
      <c r="C38" s="53" t="n">
        <v>34524</v>
      </c>
      <c r="D38" s="73" t="n">
        <v>0.825309929324528</v>
      </c>
      <c r="E38" s="70" t="n">
        <v>81.4240304636226</v>
      </c>
      <c r="F38" s="70" t="n">
        <v>80.1276501147715</v>
      </c>
      <c r="G38" s="51" t="n">
        <v>12</v>
      </c>
      <c r="H38" s="73" t="n">
        <v>1</v>
      </c>
      <c r="I38" s="51" t="inlineStr">
        <is>
          <t>LD12 (100%)</t>
        </is>
      </c>
    </row>
    <row r="39" ht="15" customHeight="1" s="44">
      <c r="A39" s="51" t="inlineStr">
        <is>
          <t>85050</t>
        </is>
      </c>
      <c r="B39" s="51" t="inlineStr">
        <is>
          <t>Maricopa</t>
        </is>
      </c>
      <c r="C39" s="53" t="n">
        <v>31591</v>
      </c>
      <c r="D39" s="73" t="n">
        <v>0.842771675477193</v>
      </c>
      <c r="E39" s="70" t="n">
        <v>84.1359262319711</v>
      </c>
      <c r="F39" s="70" t="n">
        <v>82.83954588312</v>
      </c>
      <c r="G39" s="51" t="n">
        <v>4</v>
      </c>
      <c r="H39" s="73" t="n">
        <v>0.5274286980469119</v>
      </c>
      <c r="I39" s="51" t="inlineStr">
        <is>
          <t>LD4 (53%); LD2 (30%); LD3 (17%)</t>
        </is>
      </c>
    </row>
    <row r="40" ht="15" customHeight="1" s="44">
      <c r="A40" s="51" t="inlineStr">
        <is>
          <t>85051</t>
        </is>
      </c>
      <c r="B40" s="51" t="inlineStr">
        <is>
          <t>Maricopa</t>
        </is>
      </c>
      <c r="C40" s="53" t="n">
        <v>46123</v>
      </c>
      <c r="D40" s="73" t="n">
        <v>0.960041627821261</v>
      </c>
      <c r="E40" s="70" t="n">
        <v>75.9327280939476</v>
      </c>
      <c r="F40" s="70" t="n">
        <v>74.6363477450964</v>
      </c>
      <c r="G40" s="51" t="n">
        <v>26</v>
      </c>
      <c r="H40" s="73" t="n">
        <v>1</v>
      </c>
      <c r="I40" s="51" t="inlineStr">
        <is>
          <t>LD26 (100%)</t>
        </is>
      </c>
    </row>
    <row r="41" ht="15" customHeight="1" s="44">
      <c r="A41" s="51" t="inlineStr">
        <is>
          <t>85053</t>
        </is>
      </c>
      <c r="B41" s="51" t="inlineStr">
        <is>
          <t>Maricopa</t>
        </is>
      </c>
      <c r="C41" s="53" t="n">
        <v>30136</v>
      </c>
      <c r="D41" s="73" t="n">
        <v>0.854658879745155</v>
      </c>
      <c r="E41" s="70" t="n">
        <v>77.71193120049701</v>
      </c>
      <c r="F41" s="70" t="n">
        <v>76.4155508516458</v>
      </c>
      <c r="G41" s="51" t="n">
        <v>2</v>
      </c>
      <c r="H41" s="73" t="n">
        <v>0.978597026811787</v>
      </c>
      <c r="I41" s="51" t="inlineStr">
        <is>
          <t>LD2 (98%); LD27 (2%)</t>
        </is>
      </c>
    </row>
    <row r="42" ht="15" customHeight="1" s="44">
      <c r="A42" s="51" t="inlineStr">
        <is>
          <t>85054</t>
        </is>
      </c>
      <c r="B42" s="51" t="inlineStr">
        <is>
          <t>Maricopa</t>
        </is>
      </c>
      <c r="C42" s="53" t="n">
        <v>8849</v>
      </c>
      <c r="D42" s="73" t="n">
        <v>1</v>
      </c>
      <c r="E42" s="70" t="n">
        <v>81.5</v>
      </c>
      <c r="F42" s="70" t="n">
        <v>80.2036196511488</v>
      </c>
      <c r="G42" s="51" t="n">
        <v>4</v>
      </c>
      <c r="H42" s="73" t="n">
        <v>1</v>
      </c>
      <c r="I42" s="51" t="inlineStr">
        <is>
          <t>LD4 (100%)</t>
        </is>
      </c>
    </row>
    <row r="43" ht="15" customHeight="1" s="44">
      <c r="A43" s="51" t="inlineStr">
        <is>
          <t>85083</t>
        </is>
      </c>
      <c r="B43" s="51" t="inlineStr">
        <is>
          <t>Maricopa</t>
        </is>
      </c>
      <c r="C43" s="53" t="n">
        <v>20898</v>
      </c>
      <c r="D43" s="73" t="n">
        <v>1</v>
      </c>
      <c r="E43" s="70" t="n">
        <v>79.7671116853287</v>
      </c>
      <c r="F43" s="70" t="n">
        <v>78.4707313364776</v>
      </c>
      <c r="G43" s="51" t="n">
        <v>28</v>
      </c>
      <c r="H43" s="73" t="n">
        <v>1</v>
      </c>
      <c r="I43" s="51" t="inlineStr">
        <is>
          <t>LD28 (100%)</t>
        </is>
      </c>
    </row>
    <row r="44" ht="15" customHeight="1" s="44">
      <c r="A44" s="51" t="inlineStr">
        <is>
          <t>85085</t>
        </is>
      </c>
      <c r="B44" s="51" t="inlineStr">
        <is>
          <t>Maricopa</t>
        </is>
      </c>
      <c r="C44" s="53" t="n">
        <v>27875</v>
      </c>
      <c r="D44" s="73" t="n">
        <v>0.655748878923767</v>
      </c>
      <c r="E44" s="70" t="n">
        <v>79.9163685103124</v>
      </c>
      <c r="F44" s="70" t="n">
        <v>78.61998816146119</v>
      </c>
      <c r="G44" s="51" t="n">
        <v>2</v>
      </c>
      <c r="H44" s="73" t="n">
        <v>0.62704932735426</v>
      </c>
      <c r="I44" s="51" t="inlineStr">
        <is>
          <t>LD2 (63%); LD3 (37%)</t>
        </is>
      </c>
    </row>
    <row r="45" ht="15" customHeight="1" s="44">
      <c r="A45" s="51" t="inlineStr">
        <is>
          <t>85086</t>
        </is>
      </c>
      <c r="B45" s="51" t="inlineStr">
        <is>
          <t>Maricopa</t>
        </is>
      </c>
      <c r="C45" s="53" t="n">
        <v>43223</v>
      </c>
      <c r="D45" s="73" t="n">
        <v>0.838627582537075</v>
      </c>
      <c r="E45" s="70" t="n">
        <v>81.53155484440521</v>
      </c>
      <c r="F45" s="70" t="n">
        <v>80.23517449555401</v>
      </c>
      <c r="G45" s="51" t="n">
        <v>3</v>
      </c>
      <c r="H45" s="73" t="n">
        <v>0.96245054716239</v>
      </c>
      <c r="I45" s="51" t="inlineStr">
        <is>
          <t>LD3 (96%); LD28 (4%)</t>
        </is>
      </c>
    </row>
    <row r="46" ht="15" customHeight="1" s="44">
      <c r="A46" s="51" t="inlineStr">
        <is>
          <t>85087</t>
        </is>
      </c>
      <c r="B46" s="51" t="inlineStr">
        <is>
          <t>Maricopa</t>
        </is>
      </c>
      <c r="C46" s="53" t="n">
        <v>9853</v>
      </c>
      <c r="D46" s="73" t="n">
        <v>0.886024561047397</v>
      </c>
      <c r="E46" s="70" t="n">
        <v>83.0900458190149</v>
      </c>
      <c r="F46" s="70" t="n">
        <v>81.7936654701637</v>
      </c>
      <c r="G46" s="51" t="n">
        <v>3</v>
      </c>
      <c r="H46" s="73" t="n">
        <v>0.894143915558713</v>
      </c>
      <c r="I46" s="51" t="inlineStr">
        <is>
          <t>LD3 (89%); LD28 (11%)</t>
        </is>
      </c>
    </row>
    <row r="47" ht="15" customHeight="1" s="44">
      <c r="A47" s="51" t="inlineStr">
        <is>
          <t>85118</t>
        </is>
      </c>
      <c r="B47" s="51" t="inlineStr">
        <is>
          <t>Pinal</t>
        </is>
      </c>
      <c r="C47" s="53" t="n">
        <v>13044</v>
      </c>
      <c r="D47" s="73" t="n">
        <v>0.467877951548605</v>
      </c>
      <c r="E47" s="70" t="n">
        <v>86.90000000000001</v>
      </c>
      <c r="F47" s="70" t="n">
        <v>85.6422068126809</v>
      </c>
      <c r="G47" s="51" t="n">
        <v>7</v>
      </c>
      <c r="H47" s="73" t="n">
        <v>0.998926709598283</v>
      </c>
      <c r="I47" s="51" t="inlineStr">
        <is>
          <t>LD7 (100%)</t>
        </is>
      </c>
    </row>
    <row r="48" ht="15" customHeight="1" s="44">
      <c r="A48" s="51" t="inlineStr">
        <is>
          <t>85119</t>
        </is>
      </c>
      <c r="B48" s="51" t="inlineStr">
        <is>
          <t>Pinal</t>
        </is>
      </c>
      <c r="C48" s="53" t="n">
        <v>22069</v>
      </c>
      <c r="D48" s="73" t="n">
        <v>0.973446916489193</v>
      </c>
      <c r="E48" s="70" t="n">
        <v>78.88907508262351</v>
      </c>
      <c r="F48" s="70" t="n">
        <v>77.6312818953044</v>
      </c>
      <c r="G48" s="51" t="n">
        <v>7</v>
      </c>
      <c r="H48" s="73" t="n">
        <v>1</v>
      </c>
      <c r="I48" s="51" t="inlineStr">
        <is>
          <t>LD7 (100%)</t>
        </is>
      </c>
    </row>
    <row r="49" ht="15" customHeight="1" s="44">
      <c r="A49" s="51" t="inlineStr">
        <is>
          <t>85120</t>
        </is>
      </c>
      <c r="B49" s="51" t="inlineStr">
        <is>
          <t>Pinal</t>
        </is>
      </c>
      <c r="C49" s="53" t="n">
        <v>30605</v>
      </c>
      <c r="D49" s="73" t="n">
        <v>0.901617382780591</v>
      </c>
      <c r="E49" s="70" t="n">
        <v>76.22264260346449</v>
      </c>
      <c r="F49" s="70" t="n">
        <v>74.962019075675</v>
      </c>
      <c r="G49" s="51" t="n">
        <v>10</v>
      </c>
      <c r="H49" s="73" t="n">
        <v>0.559157000490116</v>
      </c>
      <c r="I49" s="51" t="inlineStr">
        <is>
          <t>LD10 (56%); LD7 (44%)</t>
        </is>
      </c>
    </row>
    <row r="50" ht="15" customHeight="1" s="44">
      <c r="A50" s="51" t="inlineStr">
        <is>
          <t>85121</t>
        </is>
      </c>
      <c r="B50" s="51" t="inlineStr">
        <is>
          <t>Pinal</t>
        </is>
      </c>
      <c r="C50" s="53" t="n">
        <v>2802</v>
      </c>
      <c r="D50" s="73" t="n">
        <v>0</v>
      </c>
      <c r="E50" s="70" t="n"/>
      <c r="F50" s="70" t="n"/>
      <c r="G50" s="51" t="n">
        <v>16</v>
      </c>
      <c r="H50" s="73" t="n">
        <v>1</v>
      </c>
      <c r="I50" s="51" t="inlineStr">
        <is>
          <t>LD16 (100%)</t>
        </is>
      </c>
    </row>
    <row r="51" ht="15" customHeight="1" s="44">
      <c r="A51" s="51" t="inlineStr">
        <is>
          <t>85122</t>
        </is>
      </c>
      <c r="B51" s="51" t="inlineStr">
        <is>
          <t>Pinal</t>
        </is>
      </c>
      <c r="C51" s="53" t="n">
        <v>55063</v>
      </c>
      <c r="D51" s="73" t="n">
        <v>1</v>
      </c>
      <c r="E51" s="70" t="n">
        <v>78.4253382489149</v>
      </c>
      <c r="F51" s="70" t="n">
        <v>77.1675450615958</v>
      </c>
      <c r="G51" s="51" t="n">
        <v>16</v>
      </c>
      <c r="H51" s="73" t="n">
        <v>1</v>
      </c>
      <c r="I51" s="51" t="inlineStr">
        <is>
          <t>LD16 (100%)</t>
        </is>
      </c>
    </row>
    <row r="52" ht="15" customHeight="1" s="44">
      <c r="A52" s="51" t="inlineStr">
        <is>
          <t>85123</t>
        </is>
      </c>
      <c r="B52" s="51" t="inlineStr">
        <is>
          <t>Pinal</t>
        </is>
      </c>
      <c r="C52" s="53" t="n">
        <v>9965</v>
      </c>
      <c r="D52" s="73" t="n">
        <v>1</v>
      </c>
      <c r="E52" s="70" t="n">
        <v>77.019136979428</v>
      </c>
      <c r="F52" s="70" t="n">
        <v>75.7613437921089</v>
      </c>
      <c r="G52" s="51" t="n">
        <v>16</v>
      </c>
      <c r="H52" s="73" t="n">
        <v>1</v>
      </c>
      <c r="I52" s="51" t="inlineStr">
        <is>
          <t>LD16 (100%)</t>
        </is>
      </c>
    </row>
    <row r="53" ht="15" customHeight="1" s="44">
      <c r="A53" s="51" t="inlineStr">
        <is>
          <t>85128</t>
        </is>
      </c>
      <c r="B53" s="51" t="inlineStr">
        <is>
          <t>Pinal</t>
        </is>
      </c>
      <c r="C53" s="53" t="n">
        <v>15764</v>
      </c>
      <c r="D53" s="73" t="n">
        <v>1</v>
      </c>
      <c r="E53" s="70" t="n">
        <v>77.9016429840142</v>
      </c>
      <c r="F53" s="70" t="n">
        <v>76.64384979669509</v>
      </c>
      <c r="G53" s="51" t="n">
        <v>16</v>
      </c>
      <c r="H53" s="73" t="n">
        <v>1</v>
      </c>
      <c r="I53" s="51" t="inlineStr">
        <is>
          <t>LD16 (100%)</t>
        </is>
      </c>
    </row>
    <row r="54" ht="15" customHeight="1" s="44">
      <c r="A54" s="51" t="inlineStr">
        <is>
          <t>85131</t>
        </is>
      </c>
      <c r="B54" s="51" t="inlineStr">
        <is>
          <t>Pinal</t>
        </is>
      </c>
      <c r="C54" s="53" t="n">
        <v>16723</v>
      </c>
      <c r="D54" s="73" t="n">
        <v>0.603839024098547</v>
      </c>
      <c r="E54" s="70" t="n">
        <v>78.57611408199639</v>
      </c>
      <c r="F54" s="70" t="n">
        <v>77.3183208946774</v>
      </c>
      <c r="G54" s="51" t="n">
        <v>16</v>
      </c>
      <c r="H54" s="73" t="n">
        <v>1</v>
      </c>
      <c r="I54" s="51" t="inlineStr">
        <is>
          <t>LD16 (100%)</t>
        </is>
      </c>
    </row>
    <row r="55" ht="15" customHeight="1" s="44">
      <c r="A55" s="51" t="inlineStr">
        <is>
          <t>85132</t>
        </is>
      </c>
      <c r="B55" s="51" t="inlineStr">
        <is>
          <t>Pinal</t>
        </is>
      </c>
      <c r="C55" s="53" t="n">
        <v>38848</v>
      </c>
      <c r="D55" s="73" t="n">
        <v>0.571252059308072</v>
      </c>
      <c r="E55" s="70" t="n">
        <v>84.37463500360489</v>
      </c>
      <c r="F55" s="70" t="n">
        <v>83.1168418162858</v>
      </c>
      <c r="G55" s="51" t="n">
        <v>7</v>
      </c>
      <c r="H55" s="73" t="n">
        <v>0.729046540362438</v>
      </c>
      <c r="I55" s="51" t="inlineStr">
        <is>
          <t>LD7 (73%); LD16 (27%)</t>
        </is>
      </c>
    </row>
    <row r="56" ht="15" customHeight="1" s="44">
      <c r="A56" s="51" t="inlineStr">
        <is>
          <t>85135</t>
        </is>
      </c>
      <c r="B56" s="51" t="inlineStr">
        <is>
          <t>Gila</t>
        </is>
      </c>
      <c r="C56" s="53" t="n">
        <v>519</v>
      </c>
      <c r="D56" s="73" t="n">
        <v>1</v>
      </c>
      <c r="E56" s="70" t="n">
        <v>77.8</v>
      </c>
      <c r="F56" s="70" t="n">
        <v>69.2943009567343</v>
      </c>
      <c r="G56" s="51" t="n">
        <v>7</v>
      </c>
      <c r="H56" s="73" t="n">
        <v>1</v>
      </c>
      <c r="I56" s="51" t="inlineStr">
        <is>
          <t>LD7 (100%)</t>
        </is>
      </c>
    </row>
    <row r="57" ht="15" customHeight="1" s="44">
      <c r="A57" s="51" t="inlineStr">
        <is>
          <t>85137</t>
        </is>
      </c>
      <c r="B57" s="51" t="inlineStr">
        <is>
          <t>Pinal</t>
        </is>
      </c>
      <c r="C57" s="53" t="n">
        <v>2021</v>
      </c>
      <c r="D57" s="73" t="n">
        <v>1</v>
      </c>
      <c r="E57" s="70" t="n">
        <v>81.2147946561108</v>
      </c>
      <c r="F57" s="70" t="n">
        <v>79.9570014687918</v>
      </c>
      <c r="G57" s="51" t="n">
        <v>7</v>
      </c>
      <c r="H57" s="73" t="n">
        <v>1</v>
      </c>
      <c r="I57" s="51" t="inlineStr">
        <is>
          <t>LD7 (100%)</t>
        </is>
      </c>
    </row>
    <row r="58" ht="15" customHeight="1" s="44">
      <c r="A58" s="51" t="inlineStr">
        <is>
          <t>85138</t>
        </is>
      </c>
      <c r="B58" s="51" t="inlineStr">
        <is>
          <t>Pinal</t>
        </is>
      </c>
      <c r="C58" s="53" t="n">
        <v>46914</v>
      </c>
      <c r="D58" s="73" t="n">
        <v>0.763823165792727</v>
      </c>
      <c r="E58" s="70" t="n">
        <v>79.3028101802757</v>
      </c>
      <c r="F58" s="70" t="n">
        <v>78.0450169929567</v>
      </c>
      <c r="G58" s="51" t="n">
        <v>16</v>
      </c>
      <c r="H58" s="73" t="n">
        <v>1</v>
      </c>
      <c r="I58" s="51" t="inlineStr">
        <is>
          <t>LD16 (100%)</t>
        </is>
      </c>
    </row>
    <row r="59" ht="15" customHeight="1" s="44">
      <c r="A59" s="51" t="inlineStr">
        <is>
          <t>85139</t>
        </is>
      </c>
      <c r="B59" s="51" t="inlineStr">
        <is>
          <t>Pinal</t>
        </is>
      </c>
      <c r="C59" s="53" t="n">
        <v>18137</v>
      </c>
      <c r="D59" s="73" t="n">
        <v>0.687489662016872</v>
      </c>
      <c r="E59" s="70" t="n">
        <v>78.08387200256639</v>
      </c>
      <c r="F59" s="70" t="n">
        <v>76.82586837920719</v>
      </c>
      <c r="G59" s="51" t="n">
        <v>16</v>
      </c>
      <c r="H59" s="73" t="n">
        <v>0.995754534928599</v>
      </c>
      <c r="I59" s="51" t="inlineStr">
        <is>
          <t>LD16 (100%)</t>
        </is>
      </c>
    </row>
    <row r="60" ht="15" customHeight="1" s="44">
      <c r="A60" s="51" t="inlineStr">
        <is>
          <t>85140</t>
        </is>
      </c>
      <c r="B60" s="51" t="inlineStr">
        <is>
          <t>Pinal</t>
        </is>
      </c>
      <c r="C60" s="53" t="n">
        <v>45381</v>
      </c>
      <c r="D60" s="73" t="n">
        <v>0.7629404376280819</v>
      </c>
      <c r="E60" s="70" t="n">
        <v>81.15605233515291</v>
      </c>
      <c r="F60" s="70" t="n">
        <v>79.8982591478339</v>
      </c>
      <c r="G60" s="51" t="n">
        <v>15</v>
      </c>
      <c r="H60" s="73" t="n">
        <v>1</v>
      </c>
      <c r="I60" s="51" t="inlineStr">
        <is>
          <t>LD15 (100%)</t>
        </is>
      </c>
    </row>
    <row r="61" ht="15" customHeight="1" s="44">
      <c r="A61" s="51" t="inlineStr">
        <is>
          <t>85141</t>
        </is>
      </c>
      <c r="B61" s="51" t="inlineStr">
        <is>
          <t>Pinal</t>
        </is>
      </c>
      <c r="C61" s="53" t="n">
        <v>416</v>
      </c>
      <c r="D61" s="73" t="n">
        <v>1</v>
      </c>
      <c r="E61" s="70" t="n">
        <v>76.7110576923077</v>
      </c>
      <c r="F61" s="70" t="n">
        <v>75.4532645049886</v>
      </c>
      <c r="G61" s="51" t="n">
        <v>16</v>
      </c>
      <c r="H61" s="73" t="n">
        <v>1</v>
      </c>
      <c r="I61" s="51" t="inlineStr">
        <is>
          <t>LD16 (100%)</t>
        </is>
      </c>
    </row>
    <row r="62" ht="15" customHeight="1" s="44">
      <c r="A62" s="51" t="inlineStr">
        <is>
          <t>85142</t>
        </is>
      </c>
      <c r="B62" s="51" t="inlineStr">
        <is>
          <t>Maricopa</t>
        </is>
      </c>
      <c r="C62" s="53" t="n">
        <v>80734</v>
      </c>
      <c r="D62" s="73" t="n">
        <v>0.841355562712116</v>
      </c>
      <c r="E62" s="70" t="n">
        <v>79.8253054794924</v>
      </c>
      <c r="F62" s="70" t="n">
        <v>78.5421056406354</v>
      </c>
      <c r="G62" s="51" t="n">
        <v>15</v>
      </c>
      <c r="H62" s="73" t="n">
        <v>0.961763321525008</v>
      </c>
      <c r="I62" s="51" t="inlineStr">
        <is>
          <t>LD15 (96%); LD14 (4%)</t>
        </is>
      </c>
    </row>
    <row r="63" ht="15" customHeight="1" s="44">
      <c r="A63" s="51" t="inlineStr">
        <is>
          <t>85143</t>
        </is>
      </c>
      <c r="B63" s="51" t="inlineStr">
        <is>
          <t>Pinal</t>
        </is>
      </c>
      <c r="C63" s="53" t="n">
        <v>41720</v>
      </c>
      <c r="D63" s="73" t="n">
        <v>0.9840124640460211</v>
      </c>
      <c r="E63" s="70" t="n">
        <v>80.07310549777119</v>
      </c>
      <c r="F63" s="70" t="n">
        <v>78.8153123104521</v>
      </c>
      <c r="G63" s="51" t="n">
        <v>15</v>
      </c>
      <c r="H63" s="73" t="n">
        <v>0.983077660594439</v>
      </c>
      <c r="I63" s="51" t="inlineStr">
        <is>
          <t>LD15 (98%)</t>
        </is>
      </c>
    </row>
    <row r="64" ht="15" customHeight="1" s="44">
      <c r="A64" s="51" t="inlineStr">
        <is>
          <t>85145</t>
        </is>
      </c>
      <c r="B64" s="51" t="inlineStr">
        <is>
          <t>Pinal</t>
        </is>
      </c>
      <c r="C64" s="53" t="n">
        <v>2572</v>
      </c>
      <c r="D64" s="73" t="n">
        <v>1</v>
      </c>
      <c r="E64" s="70" t="n">
        <v>75.90000000000001</v>
      </c>
      <c r="F64" s="70" t="n">
        <v>74.6422068126809</v>
      </c>
      <c r="G64" s="51" t="n">
        <v>16</v>
      </c>
      <c r="H64" s="73" t="n">
        <v>1</v>
      </c>
      <c r="I64" s="51" t="inlineStr">
        <is>
          <t>LD16 (100%)</t>
        </is>
      </c>
    </row>
    <row r="65" ht="15" customHeight="1" s="44">
      <c r="A65" s="51" t="inlineStr">
        <is>
          <t>85147</t>
        </is>
      </c>
      <c r="B65" s="51" t="inlineStr">
        <is>
          <t>Pinal</t>
        </is>
      </c>
      <c r="C65" s="53" t="n">
        <v>5390</v>
      </c>
      <c r="D65" s="73" t="n">
        <v>1</v>
      </c>
      <c r="E65" s="70" t="n">
        <v>76.09999999999999</v>
      </c>
      <c r="F65" s="70" t="n">
        <v>74.8422068126809</v>
      </c>
      <c r="G65" s="51" t="n">
        <v>16</v>
      </c>
      <c r="H65" s="73" t="n">
        <v>1</v>
      </c>
      <c r="I65" s="51" t="inlineStr">
        <is>
          <t>LD16 (100%)</t>
        </is>
      </c>
    </row>
    <row r="66" ht="15" customHeight="1" s="44">
      <c r="A66" s="51" t="inlineStr">
        <is>
          <t>85172</t>
        </is>
      </c>
      <c r="B66" s="51" t="inlineStr">
        <is>
          <t>Pinal</t>
        </is>
      </c>
      <c r="C66" s="53" t="n">
        <v>1132</v>
      </c>
      <c r="D66" s="73" t="n">
        <v>1</v>
      </c>
      <c r="E66" s="70" t="n">
        <v>76.6737632508834</v>
      </c>
      <c r="F66" s="70" t="n">
        <v>75.4159700635643</v>
      </c>
      <c r="G66" s="51" t="n">
        <v>16</v>
      </c>
      <c r="H66" s="73" t="n">
        <v>1</v>
      </c>
      <c r="I66" s="51" t="inlineStr">
        <is>
          <t>LD16 (100%)</t>
        </is>
      </c>
    </row>
    <row r="67" ht="15" customHeight="1" s="44">
      <c r="A67" s="51" t="inlineStr">
        <is>
          <t>85173</t>
        </is>
      </c>
      <c r="B67" s="51" t="inlineStr">
        <is>
          <t>Pinal</t>
        </is>
      </c>
      <c r="C67" s="53" t="n">
        <v>2458</v>
      </c>
      <c r="D67" s="73" t="n">
        <v>0.983726606997559</v>
      </c>
      <c r="E67" s="70" t="n">
        <v>72.7</v>
      </c>
      <c r="F67" s="70" t="n">
        <v>71.44220681268089</v>
      </c>
      <c r="G67" s="51" t="n">
        <v>7</v>
      </c>
      <c r="H67" s="73" t="n">
        <v>1</v>
      </c>
      <c r="I67" s="51" t="inlineStr">
        <is>
          <t>LD7 (100%)</t>
        </is>
      </c>
    </row>
    <row r="68" ht="15" customHeight="1" s="44">
      <c r="A68" s="51" t="inlineStr">
        <is>
          <t>85191</t>
        </is>
      </c>
      <c r="B68" s="51" t="inlineStr">
        <is>
          <t>Pinal</t>
        </is>
      </c>
      <c r="C68" s="53" t="n">
        <v>187</v>
      </c>
      <c r="D68" s="73" t="n">
        <v>1</v>
      </c>
      <c r="E68" s="70" t="n">
        <v>78.7</v>
      </c>
      <c r="F68" s="70" t="n">
        <v>77.44220681268089</v>
      </c>
      <c r="G68" s="51" t="n">
        <v>16</v>
      </c>
      <c r="H68" s="73" t="n">
        <v>1</v>
      </c>
      <c r="I68" s="51" t="inlineStr">
        <is>
          <t>LD16 (100%)</t>
        </is>
      </c>
    </row>
    <row r="69" ht="15" customHeight="1" s="44">
      <c r="A69" s="51" t="inlineStr">
        <is>
          <t>85192</t>
        </is>
      </c>
      <c r="B69" s="51" t="inlineStr">
        <is>
          <t>Pinal</t>
        </is>
      </c>
      <c r="C69" s="53" t="n">
        <v>1367</v>
      </c>
      <c r="D69" s="73" t="n">
        <v>1</v>
      </c>
      <c r="E69" s="70" t="n">
        <v>80.6729334308705</v>
      </c>
      <c r="F69" s="70" t="n">
        <v>76.9019673278831</v>
      </c>
      <c r="G69" s="51" t="n">
        <v>7</v>
      </c>
      <c r="H69" s="73" t="n">
        <v>1</v>
      </c>
      <c r="I69" s="51" t="inlineStr">
        <is>
          <t>LD7 (100%)</t>
        </is>
      </c>
    </row>
    <row r="70" ht="15" customHeight="1" s="44">
      <c r="A70" s="51" t="inlineStr">
        <is>
          <t>85193</t>
        </is>
      </c>
      <c r="B70" s="51" t="inlineStr">
        <is>
          <t>Pinal</t>
        </is>
      </c>
      <c r="C70" s="53" t="n">
        <v>4450</v>
      </c>
      <c r="D70" s="73" t="n">
        <v>1</v>
      </c>
      <c r="E70" s="70" t="n">
        <v>75.5101348314607</v>
      </c>
      <c r="F70" s="70" t="n">
        <v>74.25234164414159</v>
      </c>
      <c r="G70" s="51" t="n">
        <v>16</v>
      </c>
      <c r="H70" s="73" t="n">
        <v>0.911685393258427</v>
      </c>
      <c r="I70" s="51" t="inlineStr">
        <is>
          <t>LD16 (91%); LD23 (9%)</t>
        </is>
      </c>
    </row>
    <row r="71" ht="15" customHeight="1" s="44">
      <c r="A71" s="51" t="inlineStr">
        <is>
          <t>85194</t>
        </is>
      </c>
      <c r="B71" s="51" t="inlineStr">
        <is>
          <t>Pinal</t>
        </is>
      </c>
      <c r="C71" s="53" t="n">
        <v>7592</v>
      </c>
      <c r="D71" s="73" t="n">
        <v>1</v>
      </c>
      <c r="E71" s="70" t="n">
        <v>78.36754478398321</v>
      </c>
      <c r="F71" s="70" t="n">
        <v>77.1097515966641</v>
      </c>
      <c r="G71" s="51" t="n">
        <v>16</v>
      </c>
      <c r="H71" s="73" t="n">
        <v>1</v>
      </c>
      <c r="I71" s="51" t="inlineStr">
        <is>
          <t>LD16 (100%)</t>
        </is>
      </c>
    </row>
    <row r="72" ht="15" customHeight="1" s="44">
      <c r="A72" s="51" t="inlineStr">
        <is>
          <t>85201</t>
        </is>
      </c>
      <c r="B72" s="51" t="inlineStr">
        <is>
          <t>Maricopa</t>
        </is>
      </c>
      <c r="C72" s="53" t="n">
        <v>51187</v>
      </c>
      <c r="D72" s="73" t="n">
        <v>1</v>
      </c>
      <c r="E72" s="70" t="n">
        <v>76.3074335280442</v>
      </c>
      <c r="F72" s="70" t="n">
        <v>75.011053179193</v>
      </c>
      <c r="G72" s="51" t="n">
        <v>9</v>
      </c>
      <c r="H72" s="73" t="n">
        <v>0.639283411803778</v>
      </c>
      <c r="I72" s="51" t="inlineStr">
        <is>
          <t>LD9 (64%); LD8 (36%)</t>
        </is>
      </c>
    </row>
    <row r="73" ht="15" customHeight="1" s="44">
      <c r="A73" s="51" t="inlineStr">
        <is>
          <t>85202</t>
        </is>
      </c>
      <c r="B73" s="51" t="inlineStr">
        <is>
          <t>Maricopa</t>
        </is>
      </c>
      <c r="C73" s="53" t="n">
        <v>39626</v>
      </c>
      <c r="D73" s="73" t="n">
        <v>1</v>
      </c>
      <c r="E73" s="70" t="n">
        <v>77.3689799626508</v>
      </c>
      <c r="F73" s="70" t="n">
        <v>76.0725996137996</v>
      </c>
      <c r="G73" s="51" t="n">
        <v>9</v>
      </c>
      <c r="H73" s="73" t="n">
        <v>1</v>
      </c>
      <c r="I73" s="51" t="inlineStr">
        <is>
          <t>LD9 (100%)</t>
        </is>
      </c>
    </row>
    <row r="74" ht="15" customHeight="1" s="44">
      <c r="A74" s="51" t="inlineStr">
        <is>
          <t>85203</t>
        </is>
      </c>
      <c r="B74" s="51" t="inlineStr">
        <is>
          <t>Maricopa</t>
        </is>
      </c>
      <c r="C74" s="53" t="n">
        <v>37962</v>
      </c>
      <c r="D74" s="73" t="n">
        <v>1</v>
      </c>
      <c r="E74" s="70" t="n">
        <v>77.7719350929877</v>
      </c>
      <c r="F74" s="70" t="n">
        <v>76.4755547441366</v>
      </c>
      <c r="G74" s="51" t="n">
        <v>9</v>
      </c>
      <c r="H74" s="73" t="n">
        <v>0.897871555766293</v>
      </c>
      <c r="I74" s="51" t="inlineStr">
        <is>
          <t>LD9 (90%); LD10 (9%)</t>
        </is>
      </c>
    </row>
    <row r="75" ht="15" customHeight="1" s="44">
      <c r="A75" s="51" t="inlineStr">
        <is>
          <t>85204</t>
        </is>
      </c>
      <c r="B75" s="51" t="inlineStr">
        <is>
          <t>Maricopa</t>
        </is>
      </c>
      <c r="C75" s="53" t="n">
        <v>63808</v>
      </c>
      <c r="D75" s="73" t="n">
        <v>1</v>
      </c>
      <c r="E75" s="70" t="n">
        <v>77.2206055667001</v>
      </c>
      <c r="F75" s="70" t="n">
        <v>75.9242252178489</v>
      </c>
      <c r="G75" s="51" t="n">
        <v>9</v>
      </c>
      <c r="H75" s="73" t="n">
        <v>0.969956745235707</v>
      </c>
      <c r="I75" s="51" t="inlineStr">
        <is>
          <t>LD9 (97%); LD10 (3%)</t>
        </is>
      </c>
    </row>
    <row r="76" ht="15" customHeight="1" s="44">
      <c r="A76" s="51" t="inlineStr">
        <is>
          <t>85205</t>
        </is>
      </c>
      <c r="B76" s="51" t="inlineStr">
        <is>
          <t>Maricopa</t>
        </is>
      </c>
      <c r="C76" s="53" t="n">
        <v>44137</v>
      </c>
      <c r="D76" s="73" t="n">
        <v>0.835874662981172</v>
      </c>
      <c r="E76" s="70" t="n">
        <v>79.8809448946955</v>
      </c>
      <c r="F76" s="70" t="n">
        <v>78.5845645458443</v>
      </c>
      <c r="G76" s="51" t="n">
        <v>10</v>
      </c>
      <c r="H76" s="73" t="n">
        <v>1</v>
      </c>
      <c r="I76" s="51" t="inlineStr">
        <is>
          <t>LD10 (100%)</t>
        </is>
      </c>
    </row>
    <row r="77" ht="15" customHeight="1" s="44">
      <c r="A77" s="51" t="inlineStr">
        <is>
          <t>85206</t>
        </is>
      </c>
      <c r="B77" s="51" t="inlineStr">
        <is>
          <t>Maricopa</t>
        </is>
      </c>
      <c r="C77" s="53" t="n">
        <v>36713</v>
      </c>
      <c r="D77" s="73" t="n">
        <v>0.836243292566666</v>
      </c>
      <c r="E77" s="70" t="n">
        <v>77.3747597798117</v>
      </c>
      <c r="F77" s="70" t="n">
        <v>76.0783794309606</v>
      </c>
      <c r="G77" s="51" t="n">
        <v>10</v>
      </c>
      <c r="H77" s="73" t="n">
        <v>0.987688284803748</v>
      </c>
      <c r="I77" s="51" t="inlineStr">
        <is>
          <t>LD10 (99%)</t>
        </is>
      </c>
    </row>
    <row r="78" ht="15" customHeight="1" s="44">
      <c r="A78" s="51" t="inlineStr">
        <is>
          <t>85207</t>
        </is>
      </c>
      <c r="B78" s="51" t="inlineStr">
        <is>
          <t>Maricopa</t>
        </is>
      </c>
      <c r="C78" s="53" t="n">
        <v>50108</v>
      </c>
      <c r="D78" s="73" t="n">
        <v>1</v>
      </c>
      <c r="E78" s="70" t="n">
        <v>79.6476909874671</v>
      </c>
      <c r="F78" s="70" t="n">
        <v>78.3513106386159</v>
      </c>
      <c r="G78" s="51" t="n">
        <v>10</v>
      </c>
      <c r="H78" s="73" t="n">
        <v>1</v>
      </c>
      <c r="I78" s="51" t="inlineStr">
        <is>
          <t>LD10 (100%)</t>
        </is>
      </c>
    </row>
    <row r="79" ht="15" customHeight="1" s="44">
      <c r="A79" s="51" t="inlineStr">
        <is>
          <t>85208</t>
        </is>
      </c>
      <c r="B79" s="51" t="inlineStr">
        <is>
          <t>Maricopa</t>
        </is>
      </c>
      <c r="C79" s="53" t="n">
        <v>36820</v>
      </c>
      <c r="D79" s="73" t="n">
        <v>1</v>
      </c>
      <c r="E79" s="70" t="n">
        <v>77.8062493210212</v>
      </c>
      <c r="F79" s="70" t="n">
        <v>76.50986897217</v>
      </c>
      <c r="G79" s="51" t="n">
        <v>10</v>
      </c>
      <c r="H79" s="73" t="n">
        <v>1</v>
      </c>
      <c r="I79" s="51" t="inlineStr">
        <is>
          <t>LD10 (100%)</t>
        </is>
      </c>
    </row>
    <row r="80" ht="15" customHeight="1" s="44">
      <c r="A80" s="51" t="inlineStr">
        <is>
          <t>85209</t>
        </is>
      </c>
      <c r="B80" s="51" t="inlineStr">
        <is>
          <t>Maricopa</t>
        </is>
      </c>
      <c r="C80" s="53" t="n">
        <v>44192</v>
      </c>
      <c r="D80" s="73" t="n">
        <v>0.932476466328747</v>
      </c>
      <c r="E80" s="70" t="n">
        <v>80.9614176858862</v>
      </c>
      <c r="F80" s="70" t="n">
        <v>79.6650373370351</v>
      </c>
      <c r="G80" s="51" t="n">
        <v>15</v>
      </c>
      <c r="H80" s="73" t="n">
        <v>0.6365179217958</v>
      </c>
      <c r="I80" s="51" t="inlineStr">
        <is>
          <t>LD15 (64%); LD10 (36%)</t>
        </is>
      </c>
    </row>
    <row r="81" ht="15" customHeight="1" s="44">
      <c r="A81" s="51" t="inlineStr">
        <is>
          <t>85210</t>
        </is>
      </c>
      <c r="B81" s="51" t="inlineStr">
        <is>
          <t>Maricopa</t>
        </is>
      </c>
      <c r="C81" s="53" t="n">
        <v>40351</v>
      </c>
      <c r="D81" s="73" t="n">
        <v>1</v>
      </c>
      <c r="E81" s="70" t="n">
        <v>77.8629699387872</v>
      </c>
      <c r="F81" s="70" t="n">
        <v>76.566589589936</v>
      </c>
      <c r="G81" s="51" t="n">
        <v>9</v>
      </c>
      <c r="H81" s="73" t="n">
        <v>1</v>
      </c>
      <c r="I81" s="51" t="inlineStr">
        <is>
          <t>LD9 (100%)</t>
        </is>
      </c>
    </row>
    <row r="82" ht="15" customHeight="1" s="44">
      <c r="A82" s="51" t="inlineStr">
        <is>
          <t>85212</t>
        </is>
      </c>
      <c r="B82" s="51" t="inlineStr">
        <is>
          <t>Maricopa</t>
        </is>
      </c>
      <c r="C82" s="53" t="n">
        <v>48422</v>
      </c>
      <c r="D82" s="73" t="n">
        <v>0.535479740613771</v>
      </c>
      <c r="E82" s="70" t="n">
        <v>80.4254232712407</v>
      </c>
      <c r="F82" s="70" t="n">
        <v>79.12917983545449</v>
      </c>
      <c r="G82" s="51" t="n">
        <v>15</v>
      </c>
      <c r="H82" s="73" t="n">
        <v>0.988042625252984</v>
      </c>
      <c r="I82" s="51" t="inlineStr">
        <is>
          <t>LD15 (99%)</t>
        </is>
      </c>
    </row>
    <row r="83" ht="15" customHeight="1" s="44">
      <c r="A83" s="51" t="inlineStr">
        <is>
          <t>85213</t>
        </is>
      </c>
      <c r="B83" s="51" t="inlineStr">
        <is>
          <t>Maricopa</t>
        </is>
      </c>
      <c r="C83" s="53" t="n">
        <v>36572</v>
      </c>
      <c r="D83" s="73" t="n">
        <v>0.996582084654927</v>
      </c>
      <c r="E83" s="70" t="n">
        <v>79.2107141877247</v>
      </c>
      <c r="F83" s="70" t="n">
        <v>77.9143338388735</v>
      </c>
      <c r="G83" s="51" t="n">
        <v>9</v>
      </c>
      <c r="H83" s="73" t="n">
        <v>0.6360877173794161</v>
      </c>
      <c r="I83" s="51" t="inlineStr">
        <is>
          <t>LD9 (64%); LD10 (36%)</t>
        </is>
      </c>
    </row>
    <row r="84" ht="15" customHeight="1" s="44">
      <c r="A84" s="51" t="inlineStr">
        <is>
          <t>85215</t>
        </is>
      </c>
      <c r="B84" s="51" t="inlineStr">
        <is>
          <t>Maricopa</t>
        </is>
      </c>
      <c r="C84" s="53" t="n">
        <v>16461</v>
      </c>
      <c r="D84" s="73" t="n">
        <v>0.930198651357755</v>
      </c>
      <c r="E84" s="70" t="n">
        <v>82.2305446708464</v>
      </c>
      <c r="F84" s="70" t="n">
        <v>80.9341643219952</v>
      </c>
      <c r="G84" s="51" t="n">
        <v>10</v>
      </c>
      <c r="H84" s="73" t="n">
        <v>0.9982382601300041</v>
      </c>
      <c r="I84" s="51" t="inlineStr">
        <is>
          <t>LD10 (100%)</t>
        </is>
      </c>
    </row>
    <row r="85" ht="15" customHeight="1" s="44">
      <c r="A85" s="51" t="inlineStr">
        <is>
          <t>85224</t>
        </is>
      </c>
      <c r="B85" s="51" t="inlineStr">
        <is>
          <t>Maricopa</t>
        </is>
      </c>
      <c r="C85" s="53" t="n">
        <v>46919</v>
      </c>
      <c r="D85" s="73" t="n">
        <v>0.924849208209894</v>
      </c>
      <c r="E85" s="70" t="n">
        <v>77.9060654944346</v>
      </c>
      <c r="F85" s="70" t="n">
        <v>76.6096851455834</v>
      </c>
      <c r="G85" s="51" t="n">
        <v>12</v>
      </c>
      <c r="H85" s="73" t="n">
        <v>0.542147104584497</v>
      </c>
      <c r="I85" s="51" t="inlineStr">
        <is>
          <t>LD12 (54%); LD13 (46%)</t>
        </is>
      </c>
    </row>
    <row r="86" ht="15" customHeight="1" s="44">
      <c r="A86" s="51" t="inlineStr">
        <is>
          <t>85225</t>
        </is>
      </c>
      <c r="B86" s="51" t="inlineStr">
        <is>
          <t>Maricopa</t>
        </is>
      </c>
      <c r="C86" s="53" t="n">
        <v>73551</v>
      </c>
      <c r="D86" s="73" t="n">
        <v>0.9623526532610031</v>
      </c>
      <c r="E86" s="70" t="n">
        <v>78.7976152129073</v>
      </c>
      <c r="F86" s="70" t="n">
        <v>77.501234864056</v>
      </c>
      <c r="G86" s="51" t="n">
        <v>13</v>
      </c>
      <c r="H86" s="73" t="n">
        <v>0.673097578550937</v>
      </c>
      <c r="I86" s="51" t="inlineStr">
        <is>
          <t>LD13 (67%); LD12 (33%)</t>
        </is>
      </c>
    </row>
    <row r="87" ht="15" customHeight="1" s="44">
      <c r="A87" s="51" t="inlineStr">
        <is>
          <t>85226</t>
        </is>
      </c>
      <c r="B87" s="51" t="inlineStr">
        <is>
          <t>Maricopa</t>
        </is>
      </c>
      <c r="C87" s="53" t="n">
        <v>40689</v>
      </c>
      <c r="D87" s="73" t="n">
        <v>0.998599129985991</v>
      </c>
      <c r="E87" s="70" t="n">
        <v>80.84078558771409</v>
      </c>
      <c r="F87" s="70" t="n">
        <v>79.54440523886289</v>
      </c>
      <c r="G87" s="51" t="n">
        <v>12</v>
      </c>
      <c r="H87" s="73" t="n">
        <v>1</v>
      </c>
      <c r="I87" s="51" t="inlineStr">
        <is>
          <t>LD12 (100%)</t>
        </is>
      </c>
    </row>
    <row r="88" ht="15" customHeight="1" s="44">
      <c r="A88" s="51" t="inlineStr">
        <is>
          <t>85233</t>
        </is>
      </c>
      <c r="B88" s="51" t="inlineStr">
        <is>
          <t>Maricopa</t>
        </is>
      </c>
      <c r="C88" s="53" t="n">
        <v>39006</v>
      </c>
      <c r="D88" s="73" t="n">
        <v>1</v>
      </c>
      <c r="E88" s="70" t="n">
        <v>80.7278598164385</v>
      </c>
      <c r="F88" s="70" t="n">
        <v>79.43147946758729</v>
      </c>
      <c r="G88" s="51" t="n">
        <v>13</v>
      </c>
      <c r="H88" s="73" t="n">
        <v>1</v>
      </c>
      <c r="I88" s="51" t="inlineStr">
        <is>
          <t>LD13 (100%)</t>
        </is>
      </c>
    </row>
    <row r="89" ht="15" customHeight="1" s="44">
      <c r="A89" s="51" t="inlineStr">
        <is>
          <t>85234</t>
        </is>
      </c>
      <c r="B89" s="51" t="inlineStr">
        <is>
          <t>Maricopa</t>
        </is>
      </c>
      <c r="C89" s="53" t="n">
        <v>51051</v>
      </c>
      <c r="D89" s="73" t="n">
        <v>0.917161270102447</v>
      </c>
      <c r="E89" s="70" t="n">
        <v>80.4658152150699</v>
      </c>
      <c r="F89" s="70" t="n">
        <v>79.16943486621869</v>
      </c>
      <c r="G89" s="51" t="n">
        <v>14</v>
      </c>
      <c r="H89" s="73" t="n">
        <v>0.992340992340992</v>
      </c>
      <c r="I89" s="51" t="inlineStr">
        <is>
          <t>LD14 (99%)</t>
        </is>
      </c>
    </row>
    <row r="90" ht="15" customHeight="1" s="44">
      <c r="A90" s="51" t="inlineStr">
        <is>
          <t>85236</t>
        </is>
      </c>
      <c r="B90" s="51" t="inlineStr">
        <is>
          <t>Maricopa</t>
        </is>
      </c>
      <c r="C90" s="53" t="n">
        <v>42</v>
      </c>
      <c r="D90" s="73" t="n">
        <v>0</v>
      </c>
      <c r="E90" s="70" t="n"/>
      <c r="F90" s="70" t="n"/>
      <c r="G90" s="51" t="n">
        <v>14</v>
      </c>
      <c r="H90" s="73" t="n">
        <v>1</v>
      </c>
      <c r="I90" s="51" t="inlineStr">
        <is>
          <t>LD14 (100%)</t>
        </is>
      </c>
    </row>
    <row r="91" ht="15" customHeight="1" s="44">
      <c r="A91" s="51" t="inlineStr">
        <is>
          <t>85248</t>
        </is>
      </c>
      <c r="B91" s="51" t="inlineStr">
        <is>
          <t>Maricopa</t>
        </is>
      </c>
      <c r="C91" s="53" t="n">
        <v>38567</v>
      </c>
      <c r="D91" s="73" t="n">
        <v>0.625301423496772</v>
      </c>
      <c r="E91" s="70" t="n">
        <v>81.4482957372699</v>
      </c>
      <c r="F91" s="70" t="n">
        <v>80.15246741075769</v>
      </c>
      <c r="G91" s="51" t="n">
        <v>13</v>
      </c>
      <c r="H91" s="73" t="n">
        <v>0.979049446417922</v>
      </c>
      <c r="I91" s="51" t="inlineStr">
        <is>
          <t>LD13 (98%); LD16 (2%)</t>
        </is>
      </c>
    </row>
    <row r="92" ht="15" customHeight="1" s="44">
      <c r="A92" s="51" t="inlineStr">
        <is>
          <t>85249</t>
        </is>
      </c>
      <c r="B92" s="51" t="inlineStr">
        <is>
          <t>Maricopa</t>
        </is>
      </c>
      <c r="C92" s="53" t="n">
        <v>47414</v>
      </c>
      <c r="D92" s="73" t="n">
        <v>0.93856244990931</v>
      </c>
      <c r="E92" s="70" t="n">
        <v>81.2587672187142</v>
      </c>
      <c r="F92" s="70" t="n">
        <v>79.962386869863</v>
      </c>
      <c r="G92" s="51" t="n">
        <v>13</v>
      </c>
      <c r="H92" s="73" t="n">
        <v>0.818703336567259</v>
      </c>
      <c r="I92" s="51" t="inlineStr">
        <is>
          <t>LD13 (82%); LD14 (18%)</t>
        </is>
      </c>
    </row>
    <row r="93" ht="15" customHeight="1" s="44">
      <c r="A93" s="51" t="inlineStr">
        <is>
          <t>85250</t>
        </is>
      </c>
      <c r="B93" s="51" t="inlineStr">
        <is>
          <t>Maricopa</t>
        </is>
      </c>
      <c r="C93" s="53" t="n">
        <v>16501</v>
      </c>
      <c r="D93" s="73" t="n">
        <v>0.998000121204775</v>
      </c>
      <c r="E93" s="70" t="n">
        <v>81.5195530726257</v>
      </c>
      <c r="F93" s="70" t="n">
        <v>80.2231727237745</v>
      </c>
      <c r="G93" s="51" t="n">
        <v>4</v>
      </c>
      <c r="H93" s="73" t="n">
        <v>0.977092297436519</v>
      </c>
      <c r="I93" s="51" t="inlineStr">
        <is>
          <t>LD4 (98%); LD8 (2%)</t>
        </is>
      </c>
    </row>
    <row r="94" ht="15" customHeight="1" s="44">
      <c r="A94" s="51" t="inlineStr">
        <is>
          <t>85251</t>
        </is>
      </c>
      <c r="B94" s="51" t="inlineStr">
        <is>
          <t>Maricopa</t>
        </is>
      </c>
      <c r="C94" s="53" t="n">
        <v>40073</v>
      </c>
      <c r="D94" s="73" t="n">
        <v>0.755571082773938</v>
      </c>
      <c r="E94" s="70" t="n">
        <v>81.3799788625405</v>
      </c>
      <c r="F94" s="70" t="n">
        <v>80.0835985136893</v>
      </c>
      <c r="G94" s="51" t="n">
        <v>8</v>
      </c>
      <c r="H94" s="73" t="n">
        <v>0.928879794375265</v>
      </c>
      <c r="I94" s="51" t="inlineStr">
        <is>
          <t>LD8 (93%); LD4 (7%)</t>
        </is>
      </c>
    </row>
    <row r="95" ht="15" customHeight="1" s="44">
      <c r="A95" s="51" t="inlineStr">
        <is>
          <t>85253</t>
        </is>
      </c>
      <c r="B95" s="51" t="inlineStr">
        <is>
          <t>Maricopa</t>
        </is>
      </c>
      <c r="C95" s="53" t="n">
        <v>17358</v>
      </c>
      <c r="D95" s="73" t="n">
        <v>1</v>
      </c>
      <c r="E95" s="70" t="n">
        <v>82.70908514805851</v>
      </c>
      <c r="F95" s="70" t="n">
        <v>81.4127047992073</v>
      </c>
      <c r="G95" s="51" t="n">
        <v>4</v>
      </c>
      <c r="H95" s="73" t="n">
        <v>1</v>
      </c>
      <c r="I95" s="51" t="inlineStr">
        <is>
          <t>LD4 (100%)</t>
        </is>
      </c>
    </row>
    <row r="96" ht="15" customHeight="1" s="44">
      <c r="A96" s="51" t="inlineStr">
        <is>
          <t>85254</t>
        </is>
      </c>
      <c r="B96" s="51" t="inlineStr">
        <is>
          <t>Maricopa</t>
        </is>
      </c>
      <c r="C96" s="53" t="n">
        <v>46352</v>
      </c>
      <c r="D96" s="73" t="n">
        <v>1</v>
      </c>
      <c r="E96" s="70" t="n">
        <v>80.6315779254401</v>
      </c>
      <c r="F96" s="70" t="n">
        <v>79.3351975765889</v>
      </c>
      <c r="G96" s="51" t="n">
        <v>4</v>
      </c>
      <c r="H96" s="73" t="n">
        <v>1</v>
      </c>
      <c r="I96" s="51" t="inlineStr">
        <is>
          <t>LD4 (100%)</t>
        </is>
      </c>
    </row>
    <row r="97" ht="15" customHeight="1" s="44">
      <c r="A97" s="51" t="inlineStr">
        <is>
          <t>85255</t>
        </is>
      </c>
      <c r="B97" s="51" t="inlineStr">
        <is>
          <t>Maricopa</t>
        </is>
      </c>
      <c r="C97" s="53" t="n">
        <v>44976</v>
      </c>
      <c r="D97" s="73" t="n">
        <v>0.905749733191035</v>
      </c>
      <c r="E97" s="70" t="n">
        <v>82.5635883840244</v>
      </c>
      <c r="F97" s="70" t="n">
        <v>81.2672080351732</v>
      </c>
      <c r="G97" s="51" t="n">
        <v>3</v>
      </c>
      <c r="H97" s="73" t="n">
        <v>0.918378690857346</v>
      </c>
      <c r="I97" s="51" t="inlineStr">
        <is>
          <t>LD3 (92%); LD4 (8%)</t>
        </is>
      </c>
    </row>
    <row r="98" ht="15" customHeight="1" s="44">
      <c r="A98" s="51" t="inlineStr">
        <is>
          <t>85256</t>
        </is>
      </c>
      <c r="B98" s="51" t="inlineStr">
        <is>
          <t>Maricopa</t>
        </is>
      </c>
      <c r="C98" s="53" t="n">
        <v>4857</v>
      </c>
      <c r="D98" s="73" t="n">
        <v>1</v>
      </c>
      <c r="E98" s="70" t="n">
        <v>65.8</v>
      </c>
      <c r="F98" s="70" t="n">
        <v>64.5036196511488</v>
      </c>
      <c r="G98" s="51" t="n">
        <v>8</v>
      </c>
      <c r="H98" s="73" t="n">
        <v>1</v>
      </c>
      <c r="I98" s="51" t="inlineStr">
        <is>
          <t>LD8 (100%)</t>
        </is>
      </c>
    </row>
    <row r="99" ht="15" customHeight="1" s="44">
      <c r="A99" s="51" t="inlineStr">
        <is>
          <t>85257</t>
        </is>
      </c>
      <c r="B99" s="51" t="inlineStr">
        <is>
          <t>Maricopa</t>
        </is>
      </c>
      <c r="C99" s="53" t="n">
        <v>29187</v>
      </c>
      <c r="D99" s="73" t="n">
        <v>1</v>
      </c>
      <c r="E99" s="70" t="n">
        <v>78.0668311234454</v>
      </c>
      <c r="F99" s="70" t="n">
        <v>76.7704507745942</v>
      </c>
      <c r="G99" s="51" t="n">
        <v>8</v>
      </c>
      <c r="H99" s="73" t="n">
        <v>1</v>
      </c>
      <c r="I99" s="51" t="inlineStr">
        <is>
          <t>LD8 (100%)</t>
        </is>
      </c>
    </row>
    <row r="100" ht="15" customHeight="1" s="44">
      <c r="A100" s="51" t="inlineStr">
        <is>
          <t>85258</t>
        </is>
      </c>
      <c r="B100" s="51" t="inlineStr">
        <is>
          <t>Maricopa</t>
        </is>
      </c>
      <c r="C100" s="53" t="n">
        <v>25203</v>
      </c>
      <c r="D100" s="73" t="n">
        <v>0.7306669840891959</v>
      </c>
      <c r="E100" s="70" t="n">
        <v>82.5784577789845</v>
      </c>
      <c r="F100" s="70" t="n">
        <v>81.2820774301333</v>
      </c>
      <c r="G100" s="51" t="n">
        <v>4</v>
      </c>
      <c r="H100" s="73" t="n">
        <v>0.7598698567630841</v>
      </c>
      <c r="I100" s="51" t="inlineStr">
        <is>
          <t>LD4 (76%); LD3 (24%)</t>
        </is>
      </c>
    </row>
    <row r="101" ht="15" customHeight="1" s="44">
      <c r="A101" s="51" t="inlineStr">
        <is>
          <t>85259</t>
        </is>
      </c>
      <c r="B101" s="51" t="inlineStr">
        <is>
          <t>Maricopa</t>
        </is>
      </c>
      <c r="C101" s="53" t="n">
        <v>22548</v>
      </c>
      <c r="D101" s="73" t="n">
        <v>1</v>
      </c>
      <c r="E101" s="70" t="n">
        <v>81.19968068121339</v>
      </c>
      <c r="F101" s="70" t="n">
        <v>79.90330033236221</v>
      </c>
      <c r="G101" s="51" t="n">
        <v>3</v>
      </c>
      <c r="H101" s="73" t="n">
        <v>1</v>
      </c>
      <c r="I101" s="51" t="inlineStr">
        <is>
          <t>LD3 (100%)</t>
        </is>
      </c>
    </row>
    <row r="102" ht="15" customHeight="1" s="44">
      <c r="A102" s="51" t="inlineStr">
        <is>
          <t>85260</t>
        </is>
      </c>
      <c r="B102" s="51" t="inlineStr">
        <is>
          <t>Maricopa</t>
        </is>
      </c>
      <c r="C102" s="53" t="n">
        <v>37967</v>
      </c>
      <c r="D102" s="73" t="n">
        <v>0.810598677799141</v>
      </c>
      <c r="E102" s="70" t="n">
        <v>81.24093449441121</v>
      </c>
      <c r="F102" s="70" t="n">
        <v>79.9445541455601</v>
      </c>
      <c r="G102" s="51" t="n">
        <v>4</v>
      </c>
      <c r="H102" s="73" t="n">
        <v>0.68369900176469</v>
      </c>
      <c r="I102" s="51" t="inlineStr">
        <is>
          <t>LD4 (68%); LD3 (32%)</t>
        </is>
      </c>
    </row>
    <row r="103" ht="15" customHeight="1" s="44">
      <c r="A103" s="51" t="inlineStr">
        <is>
          <t>85262</t>
        </is>
      </c>
      <c r="B103" s="51" t="inlineStr">
        <is>
          <t>Maricopa</t>
        </is>
      </c>
      <c r="C103" s="53" t="n">
        <v>13366</v>
      </c>
      <c r="D103" s="73" t="n">
        <v>1</v>
      </c>
      <c r="E103" s="70" t="n">
        <v>84.47070926230739</v>
      </c>
      <c r="F103" s="70" t="n">
        <v>83.17432891345619</v>
      </c>
      <c r="G103" s="51" t="n">
        <v>3</v>
      </c>
      <c r="H103" s="73" t="n">
        <v>1</v>
      </c>
      <c r="I103" s="51" t="inlineStr">
        <is>
          <t>LD3 (100%)</t>
        </is>
      </c>
    </row>
    <row r="104" ht="15" customHeight="1" s="44">
      <c r="A104" s="51" t="inlineStr">
        <is>
          <t>85263</t>
        </is>
      </c>
      <c r="B104" s="51" t="inlineStr">
        <is>
          <t>Maricopa</t>
        </is>
      </c>
      <c r="C104" s="53" t="n">
        <v>3382</v>
      </c>
      <c r="D104" s="73" t="n">
        <v>1</v>
      </c>
      <c r="E104" s="70" t="n">
        <v>90.4350680070964</v>
      </c>
      <c r="F104" s="70" t="n">
        <v>89.1386876582452</v>
      </c>
      <c r="G104" s="51" t="n">
        <v>3</v>
      </c>
      <c r="H104" s="73" t="n">
        <v>1</v>
      </c>
      <c r="I104" s="51" t="inlineStr">
        <is>
          <t>LD3 (100%)</t>
        </is>
      </c>
    </row>
    <row r="105" ht="15" customHeight="1" s="44">
      <c r="A105" s="51" t="inlineStr">
        <is>
          <t>85264</t>
        </is>
      </c>
      <c r="B105" s="51" t="inlineStr">
        <is>
          <t>Maricopa</t>
        </is>
      </c>
      <c r="C105" s="53" t="n">
        <v>1421</v>
      </c>
      <c r="D105" s="73" t="n">
        <v>0.189303307529909</v>
      </c>
      <c r="E105" s="70" t="n">
        <v>80.59999999999999</v>
      </c>
      <c r="F105" s="70" t="n">
        <v>79.30361965114879</v>
      </c>
      <c r="G105" s="51" t="n">
        <v>3</v>
      </c>
      <c r="H105" s="73" t="n">
        <v>1</v>
      </c>
      <c r="I105" s="51" t="inlineStr">
        <is>
          <t>LD3 (100%)</t>
        </is>
      </c>
    </row>
    <row r="106" ht="15" customHeight="1" s="44">
      <c r="A106" s="51" t="inlineStr">
        <is>
          <t>85266</t>
        </is>
      </c>
      <c r="B106" s="51" t="inlineStr">
        <is>
          <t>Maricopa</t>
        </is>
      </c>
      <c r="C106" s="53" t="n">
        <v>11971</v>
      </c>
      <c r="D106" s="73" t="n">
        <v>0.5180018377746221</v>
      </c>
      <c r="E106" s="70" t="n">
        <v>84.40788582486699</v>
      </c>
      <c r="F106" s="70" t="n">
        <v>83.11150547601579</v>
      </c>
      <c r="G106" s="51" t="n">
        <v>3</v>
      </c>
      <c r="H106" s="73" t="n">
        <v>1</v>
      </c>
      <c r="I106" s="51" t="inlineStr">
        <is>
          <t>LD3 (100%)</t>
        </is>
      </c>
    </row>
    <row r="107" ht="15" customHeight="1" s="44">
      <c r="A107" s="51" t="inlineStr">
        <is>
          <t>85268</t>
        </is>
      </c>
      <c r="B107" s="51" t="inlineStr">
        <is>
          <t>Maricopa</t>
        </is>
      </c>
      <c r="C107" s="53" t="n">
        <v>24031</v>
      </c>
      <c r="D107" s="73" t="n">
        <v>1</v>
      </c>
      <c r="E107" s="70" t="n">
        <v>82.05172069410349</v>
      </c>
      <c r="F107" s="70" t="n">
        <v>80.75534034525231</v>
      </c>
      <c r="G107" s="51" t="n">
        <v>3</v>
      </c>
      <c r="H107" s="73" t="n">
        <v>1</v>
      </c>
      <c r="I107" s="51" t="inlineStr">
        <is>
          <t>LD3 (100%)</t>
        </is>
      </c>
    </row>
    <row r="108" ht="15" customHeight="1" s="44">
      <c r="A108" s="51" t="inlineStr">
        <is>
          <t>85281</t>
        </is>
      </c>
      <c r="B108" s="51" t="inlineStr">
        <is>
          <t>Maricopa</t>
        </is>
      </c>
      <c r="C108" s="53" t="n">
        <v>69218</v>
      </c>
      <c r="D108" s="73" t="n">
        <v>0.641509433962264</v>
      </c>
      <c r="E108" s="70" t="n">
        <v>78.0443428519953</v>
      </c>
      <c r="F108" s="70" t="n">
        <v>76.74796250314409</v>
      </c>
      <c r="G108" s="51" t="n">
        <v>8</v>
      </c>
      <c r="H108" s="73" t="n">
        <v>0.964922419023953</v>
      </c>
      <c r="I108" s="51" t="inlineStr">
        <is>
          <t>LD8 (96%); LD9 (4%)</t>
        </is>
      </c>
    </row>
    <row r="109" ht="15" customHeight="1" s="44">
      <c r="A109" s="51" t="inlineStr">
        <is>
          <t>85282</t>
        </is>
      </c>
      <c r="B109" s="51" t="inlineStr">
        <is>
          <t>Maricopa</t>
        </is>
      </c>
      <c r="C109" s="53" t="n">
        <v>52351</v>
      </c>
      <c r="D109" s="73" t="n">
        <v>0.999732574353881</v>
      </c>
      <c r="E109" s="70" t="n">
        <v>79.36575271796239</v>
      </c>
      <c r="F109" s="70" t="n">
        <v>78.06937236911121</v>
      </c>
      <c r="G109" s="51" t="n">
        <v>8</v>
      </c>
      <c r="H109" s="73" t="n">
        <v>0.754923497163378</v>
      </c>
      <c r="I109" s="51" t="inlineStr">
        <is>
          <t>LD8 (75%); LD12 (17%); LD9 (7%)</t>
        </is>
      </c>
    </row>
    <row r="110" ht="15" customHeight="1" s="44">
      <c r="A110" s="51" t="inlineStr">
        <is>
          <t>85283</t>
        </is>
      </c>
      <c r="B110" s="51" t="inlineStr">
        <is>
          <t>Maricopa</t>
        </is>
      </c>
      <c r="C110" s="53" t="n">
        <v>45736</v>
      </c>
      <c r="D110" s="73" t="n">
        <v>0.854753367150604</v>
      </c>
      <c r="E110" s="70" t="n">
        <v>79.3856163507533</v>
      </c>
      <c r="F110" s="70" t="n">
        <v>78.08923600190219</v>
      </c>
      <c r="G110" s="51" t="n">
        <v>12</v>
      </c>
      <c r="H110" s="73" t="n">
        <v>0.881253279692146</v>
      </c>
      <c r="I110" s="51" t="inlineStr">
        <is>
          <t>LD12 (88%); LD11 (12%)</t>
        </is>
      </c>
    </row>
    <row r="111" ht="15" customHeight="1" s="44">
      <c r="A111" s="51" t="inlineStr">
        <is>
          <t>85284</t>
        </is>
      </c>
      <c r="B111" s="51" t="inlineStr">
        <is>
          <t>Maricopa</t>
        </is>
      </c>
      <c r="C111" s="53" t="n">
        <v>18638</v>
      </c>
      <c r="D111" s="73" t="n">
        <v>0.761347784097006</v>
      </c>
      <c r="E111" s="70" t="n">
        <v>83.2152995066949</v>
      </c>
      <c r="F111" s="70" t="n">
        <v>81.9189191578437</v>
      </c>
      <c r="G111" s="51" t="n">
        <v>12</v>
      </c>
      <c r="H111" s="73" t="n">
        <v>1</v>
      </c>
      <c r="I111" s="51" t="inlineStr">
        <is>
          <t>LD12 (100%)</t>
        </is>
      </c>
    </row>
    <row r="112" ht="15" customHeight="1" s="44">
      <c r="A112" s="51" t="inlineStr">
        <is>
          <t>85286</t>
        </is>
      </c>
      <c r="B112" s="51" t="inlineStr">
        <is>
          <t>Maricopa</t>
        </is>
      </c>
      <c r="C112" s="53" t="n">
        <v>49407</v>
      </c>
      <c r="D112" s="73" t="n">
        <v>0.9161657255044831</v>
      </c>
      <c r="E112" s="70" t="n">
        <v>81.2375676571302</v>
      </c>
      <c r="F112" s="70" t="n">
        <v>79.9411873082791</v>
      </c>
      <c r="G112" s="51" t="n">
        <v>13</v>
      </c>
      <c r="H112" s="73" t="n">
        <v>1</v>
      </c>
      <c r="I112" s="51" t="inlineStr">
        <is>
          <t>LD13 (100%)</t>
        </is>
      </c>
    </row>
    <row r="113" ht="15" customHeight="1" s="44">
      <c r="A113" s="51" t="inlineStr">
        <is>
          <t>85295</t>
        </is>
      </c>
      <c r="B113" s="51" t="inlineStr">
        <is>
          <t>Maricopa</t>
        </is>
      </c>
      <c r="C113" s="53" t="n">
        <v>51587</v>
      </c>
      <c r="D113" s="73" t="n">
        <v>0.424312326748987</v>
      </c>
      <c r="E113" s="70" t="n">
        <v>80.60135684590431</v>
      </c>
      <c r="F113" s="70" t="n">
        <v>79.3049764970532</v>
      </c>
      <c r="G113" s="51" t="n">
        <v>14</v>
      </c>
      <c r="H113" s="73" t="n">
        <v>1</v>
      </c>
      <c r="I113" s="51" t="inlineStr">
        <is>
          <t>LD14 (100%)</t>
        </is>
      </c>
    </row>
    <row r="114" ht="15" customHeight="1" s="44">
      <c r="A114" s="51" t="inlineStr">
        <is>
          <t>85296</t>
        </is>
      </c>
      <c r="B114" s="51" t="inlineStr">
        <is>
          <t>Maricopa</t>
        </is>
      </c>
      <c r="C114" s="53" t="n">
        <v>50418</v>
      </c>
      <c r="D114" s="73" t="n">
        <v>0.688722281724781</v>
      </c>
      <c r="E114" s="70" t="n">
        <v>80.2692374150443</v>
      </c>
      <c r="F114" s="70" t="n">
        <v>78.9728570661932</v>
      </c>
      <c r="G114" s="51" t="n">
        <v>14</v>
      </c>
      <c r="H114" s="73" t="n">
        <v>0.987722638740132</v>
      </c>
      <c r="I114" s="51" t="inlineStr">
        <is>
          <t>LD14 (99%)</t>
        </is>
      </c>
    </row>
    <row r="115" ht="15" customHeight="1" s="44">
      <c r="A115" s="51" t="inlineStr">
        <is>
          <t>85297</t>
        </is>
      </c>
      <c r="B115" s="51" t="inlineStr">
        <is>
          <t>Maricopa</t>
        </is>
      </c>
      <c r="C115" s="53" t="n">
        <v>36076</v>
      </c>
      <c r="D115" s="73" t="n">
        <v>0.775806630446835</v>
      </c>
      <c r="E115" s="70" t="n">
        <v>79.1897491782192</v>
      </c>
      <c r="F115" s="70" t="n">
        <v>77.8933688293681</v>
      </c>
      <c r="G115" s="51" t="n">
        <v>14</v>
      </c>
      <c r="H115" s="73" t="n">
        <v>0.975413016964187</v>
      </c>
      <c r="I115" s="51" t="inlineStr">
        <is>
          <t>LD14 (98%); LD13 (2%)</t>
        </is>
      </c>
    </row>
    <row r="116" ht="15" customHeight="1" s="44">
      <c r="A116" s="51" t="inlineStr">
        <is>
          <t>85298</t>
        </is>
      </c>
      <c r="B116" s="51" t="inlineStr">
        <is>
          <t>Maricopa</t>
        </is>
      </c>
      <c r="C116" s="53" t="n">
        <v>41816</v>
      </c>
      <c r="D116" s="73" t="n">
        <v>0.637052802754926</v>
      </c>
      <c r="E116" s="70" t="n">
        <v>79.8041255302376</v>
      </c>
      <c r="F116" s="70" t="n">
        <v>78.5077451813864</v>
      </c>
      <c r="G116" s="51" t="n">
        <v>14</v>
      </c>
      <c r="H116" s="73" t="n">
        <v>1</v>
      </c>
      <c r="I116" s="51" t="inlineStr">
        <is>
          <t>LD14 (100%)</t>
        </is>
      </c>
    </row>
    <row r="117" ht="15" customHeight="1" s="44">
      <c r="A117" s="51" t="inlineStr">
        <is>
          <t>85301</t>
        </is>
      </c>
      <c r="B117" s="51" t="inlineStr">
        <is>
          <t>Maricopa</t>
        </is>
      </c>
      <c r="C117" s="53" t="n">
        <v>67380</v>
      </c>
      <c r="D117" s="73" t="n">
        <v>1</v>
      </c>
      <c r="E117" s="70" t="n">
        <v>75.41648857227661</v>
      </c>
      <c r="F117" s="70" t="n">
        <v>74.1201082234255</v>
      </c>
      <c r="G117" s="51" t="n">
        <v>24</v>
      </c>
      <c r="H117" s="73" t="n">
        <v>0.758222024339567</v>
      </c>
      <c r="I117" s="51" t="inlineStr">
        <is>
          <t>LD24 (76%); LD26 (24%)</t>
        </is>
      </c>
    </row>
    <row r="118" ht="15" customHeight="1" s="44">
      <c r="A118" s="51" t="inlineStr">
        <is>
          <t>85302</t>
        </is>
      </c>
      <c r="B118" s="51" t="inlineStr">
        <is>
          <t>Maricopa</t>
        </is>
      </c>
      <c r="C118" s="53" t="n">
        <v>41369</v>
      </c>
      <c r="D118" s="73" t="n">
        <v>0.9199158790398611</v>
      </c>
      <c r="E118" s="70" t="n">
        <v>77.5186383224721</v>
      </c>
      <c r="F118" s="70" t="n">
        <v>76.222257973621</v>
      </c>
      <c r="G118" s="51" t="n">
        <v>24</v>
      </c>
      <c r="H118" s="73" t="n">
        <v>0.971331190021514</v>
      </c>
      <c r="I118" s="51" t="inlineStr">
        <is>
          <t>LD24 (97%); LD27 (3%)</t>
        </is>
      </c>
    </row>
    <row r="119" ht="15" customHeight="1" s="44">
      <c r="A119" s="51" t="inlineStr">
        <is>
          <t>85303</t>
        </is>
      </c>
      <c r="B119" s="51" t="inlineStr">
        <is>
          <t>Maricopa</t>
        </is>
      </c>
      <c r="C119" s="53" t="n">
        <v>34252</v>
      </c>
      <c r="D119" s="73" t="n">
        <v>1</v>
      </c>
      <c r="E119" s="70" t="n">
        <v>77.2517225271517</v>
      </c>
      <c r="F119" s="70" t="n">
        <v>75.9553421783005</v>
      </c>
      <c r="G119" s="51" t="n">
        <v>24</v>
      </c>
      <c r="H119" s="73" t="n">
        <v>0.998715403480089</v>
      </c>
      <c r="I119" s="51" t="inlineStr">
        <is>
          <t>LD24 (100%)</t>
        </is>
      </c>
    </row>
    <row r="120" ht="15" customHeight="1" s="44">
      <c r="A120" s="51" t="inlineStr">
        <is>
          <t>85304</t>
        </is>
      </c>
      <c r="B120" s="51" t="inlineStr">
        <is>
          <t>Maricopa</t>
        </is>
      </c>
      <c r="C120" s="53" t="n">
        <v>28125</v>
      </c>
      <c r="D120" s="73" t="n">
        <v>1</v>
      </c>
      <c r="E120" s="70" t="n">
        <v>78.8594417777778</v>
      </c>
      <c r="F120" s="70" t="n">
        <v>77.5630614289266</v>
      </c>
      <c r="G120" s="51" t="n">
        <v>27</v>
      </c>
      <c r="H120" s="73" t="n">
        <v>1</v>
      </c>
      <c r="I120" s="51" t="inlineStr">
        <is>
          <t>LD27 (100%)</t>
        </is>
      </c>
    </row>
    <row r="121" ht="15" customHeight="1" s="44">
      <c r="A121" s="51" t="inlineStr">
        <is>
          <t>85305</t>
        </is>
      </c>
      <c r="B121" s="51" t="inlineStr">
        <is>
          <t>Maricopa</t>
        </is>
      </c>
      <c r="C121" s="53" t="n">
        <v>14055</v>
      </c>
      <c r="D121" s="73" t="n">
        <v>1</v>
      </c>
      <c r="E121" s="70" t="n">
        <v>78.75524724297399</v>
      </c>
      <c r="F121" s="70" t="n">
        <v>77.45886689412291</v>
      </c>
      <c r="G121" s="51" t="n">
        <v>22</v>
      </c>
      <c r="H121" s="73" t="n">
        <v>0.650515830665244</v>
      </c>
      <c r="I121" s="51" t="inlineStr">
        <is>
          <t>LD22 (65%); LD27 (35%)</t>
        </is>
      </c>
    </row>
    <row r="122" ht="15" customHeight="1" s="44">
      <c r="A122" s="51" t="inlineStr">
        <is>
          <t>85306</t>
        </is>
      </c>
      <c r="B122" s="51" t="inlineStr">
        <is>
          <t>Maricopa</t>
        </is>
      </c>
      <c r="C122" s="53" t="n">
        <v>25663</v>
      </c>
      <c r="D122" s="73" t="n">
        <v>1</v>
      </c>
      <c r="E122" s="70" t="n">
        <v>77.7595760433309</v>
      </c>
      <c r="F122" s="70" t="n">
        <v>76.46319569447969</v>
      </c>
      <c r="G122" s="51" t="n">
        <v>27</v>
      </c>
      <c r="H122" s="73" t="n">
        <v>1</v>
      </c>
      <c r="I122" s="51" t="inlineStr">
        <is>
          <t>LD27 (100%)</t>
        </is>
      </c>
    </row>
    <row r="123" ht="15" customHeight="1" s="44">
      <c r="A123" s="51" t="inlineStr">
        <is>
          <t>85307</t>
        </is>
      </c>
      <c r="B123" s="51" t="inlineStr">
        <is>
          <t>Maricopa</t>
        </is>
      </c>
      <c r="C123" s="53" t="n">
        <v>10742</v>
      </c>
      <c r="D123" s="73" t="n">
        <v>0.8441630981195311</v>
      </c>
      <c r="E123" s="70" t="n">
        <v>77.0778010586679</v>
      </c>
      <c r="F123" s="70" t="n">
        <v>75.7814207098167</v>
      </c>
      <c r="G123" s="51" t="n">
        <v>29</v>
      </c>
      <c r="H123" s="73" t="n">
        <v>0.692701545336064</v>
      </c>
      <c r="I123" s="51" t="inlineStr">
        <is>
          <t>LD29 (69%); LD22 (31%)</t>
        </is>
      </c>
    </row>
    <row r="124" ht="15" customHeight="1" s="44">
      <c r="A124" s="51" t="inlineStr">
        <is>
          <t>85308</t>
        </is>
      </c>
      <c r="B124" s="51" t="inlineStr">
        <is>
          <t>Maricopa</t>
        </is>
      </c>
      <c r="C124" s="53" t="n">
        <v>66540</v>
      </c>
      <c r="D124" s="73" t="n">
        <v>1</v>
      </c>
      <c r="E124" s="70" t="n">
        <v>79.2288848812744</v>
      </c>
      <c r="F124" s="70" t="n">
        <v>77.9325045324232</v>
      </c>
      <c r="G124" s="51" t="n">
        <v>27</v>
      </c>
      <c r="H124" s="73" t="n">
        <v>0.806762849413886</v>
      </c>
      <c r="I124" s="51" t="inlineStr">
        <is>
          <t>LD27 (81%); LD2 (19%)</t>
        </is>
      </c>
    </row>
    <row r="125" ht="15" customHeight="1" s="44">
      <c r="A125" s="51" t="inlineStr">
        <is>
          <t>85309</t>
        </is>
      </c>
      <c r="B125" s="51" t="inlineStr">
        <is>
          <t>Maricopa</t>
        </is>
      </c>
      <c r="C125" s="53" t="n">
        <v>985</v>
      </c>
      <c r="D125" s="73" t="n">
        <v>0</v>
      </c>
      <c r="E125" s="70" t="n"/>
      <c r="F125" s="70" t="n"/>
      <c r="G125" s="51" t="n">
        <v>29</v>
      </c>
      <c r="H125" s="73" t="n">
        <v>1</v>
      </c>
      <c r="I125" s="51" t="inlineStr">
        <is>
          <t>LD29 (100%)</t>
        </is>
      </c>
    </row>
    <row r="126" ht="15" customHeight="1" s="44">
      <c r="A126" s="51" t="inlineStr">
        <is>
          <t>85310</t>
        </is>
      </c>
      <c r="B126" s="51" t="inlineStr">
        <is>
          <t>Maricopa</t>
        </is>
      </c>
      <c r="C126" s="53" t="n">
        <v>19315</v>
      </c>
      <c r="D126" s="73" t="n">
        <v>0.661144188454569</v>
      </c>
      <c r="E126" s="70" t="n">
        <v>77.9494675019577</v>
      </c>
      <c r="F126" s="70" t="n">
        <v>76.6530871531065</v>
      </c>
      <c r="G126" s="51" t="n">
        <v>28</v>
      </c>
      <c r="H126" s="73" t="n">
        <v>0.689412373802744</v>
      </c>
      <c r="I126" s="51" t="inlineStr">
        <is>
          <t>LD28 (69%); LD27 (29%)</t>
        </is>
      </c>
    </row>
    <row r="127" ht="15" customHeight="1" s="44">
      <c r="A127" s="51" t="inlineStr">
        <is>
          <t>85320</t>
        </is>
      </c>
      <c r="B127" s="51" t="inlineStr">
        <is>
          <t>Maricopa</t>
        </is>
      </c>
      <c r="C127" s="53" t="n">
        <v>800</v>
      </c>
      <c r="D127" s="73" t="n">
        <v>1</v>
      </c>
      <c r="E127" s="70" t="n">
        <v>82.40000000000001</v>
      </c>
      <c r="F127" s="70" t="n">
        <v>81.1036196511488</v>
      </c>
      <c r="G127" s="51" t="n">
        <v>30</v>
      </c>
      <c r="H127" s="73" t="n">
        <v>1</v>
      </c>
      <c r="I127" s="51" t="inlineStr">
        <is>
          <t>LD30 (100%)</t>
        </is>
      </c>
    </row>
    <row r="128" ht="15" customHeight="1" s="44">
      <c r="A128" s="51" t="inlineStr">
        <is>
          <t>85321</t>
        </is>
      </c>
      <c r="B128" s="51" t="inlineStr">
        <is>
          <t>Pima</t>
        </is>
      </c>
      <c r="C128" s="53" t="n">
        <v>3663</v>
      </c>
      <c r="D128" s="73" t="n">
        <v>0.105378105378105</v>
      </c>
      <c r="E128" s="70" t="n">
        <v>76.09999999999999</v>
      </c>
      <c r="F128" s="70" t="n">
        <v>74.0159294841478</v>
      </c>
      <c r="G128" s="51" t="n">
        <v>23</v>
      </c>
      <c r="H128" s="73" t="n">
        <v>1</v>
      </c>
      <c r="I128" s="51" t="inlineStr">
        <is>
          <t>LD23 (100%)</t>
        </is>
      </c>
    </row>
    <row r="129" ht="15" customHeight="1" s="44">
      <c r="A129" s="51" t="inlineStr">
        <is>
          <t>85322</t>
        </is>
      </c>
      <c r="B129" s="51" t="inlineStr">
        <is>
          <t>Maricopa</t>
        </is>
      </c>
      <c r="C129" s="53" t="n">
        <v>585</v>
      </c>
      <c r="D129" s="73" t="n">
        <v>1</v>
      </c>
      <c r="E129" s="70" t="n">
        <v>75.3875213675214</v>
      </c>
      <c r="F129" s="70" t="n">
        <v>74.0911410186702</v>
      </c>
      <c r="G129" s="51" t="n">
        <v>25</v>
      </c>
      <c r="H129" s="73" t="n">
        <v>1</v>
      </c>
      <c r="I129" s="51" t="inlineStr">
        <is>
          <t>LD25 (100%)</t>
        </is>
      </c>
    </row>
    <row r="130" ht="15" customHeight="1" s="44">
      <c r="A130" s="51" t="inlineStr">
        <is>
          <t>85323</t>
        </is>
      </c>
      <c r="B130" s="51" t="inlineStr">
        <is>
          <t>Maricopa</t>
        </is>
      </c>
      <c r="C130" s="53" t="n">
        <v>44632</v>
      </c>
      <c r="D130" s="73" t="n">
        <v>0.598382326581825</v>
      </c>
      <c r="E130" s="70" t="n">
        <v>74.93235106900811</v>
      </c>
      <c r="F130" s="70" t="n">
        <v>73.635970720157</v>
      </c>
      <c r="G130" s="51" t="n">
        <v>22</v>
      </c>
      <c r="H130" s="73" t="n">
        <v>1</v>
      </c>
      <c r="I130" s="51" t="inlineStr">
        <is>
          <t>LD22 (100%)</t>
        </is>
      </c>
    </row>
    <row r="131" ht="15" customHeight="1" s="44">
      <c r="A131" s="51" t="inlineStr">
        <is>
          <t>85324</t>
        </is>
      </c>
      <c r="B131" s="51" t="inlineStr">
        <is>
          <t>Yavapai</t>
        </is>
      </c>
      <c r="C131" s="53" t="n">
        <v>2720</v>
      </c>
      <c r="D131" s="73" t="n">
        <v>0.9977941176470591</v>
      </c>
      <c r="E131" s="70" t="n">
        <v>77.88599852616071</v>
      </c>
      <c r="F131" s="70" t="n">
        <v>75.4646533084739</v>
      </c>
      <c r="G131" s="51" t="n">
        <v>1</v>
      </c>
      <c r="H131" s="73" t="n">
        <v>1</v>
      </c>
      <c r="I131" s="51" t="inlineStr">
        <is>
          <t>LD1 (100%)</t>
        </is>
      </c>
    </row>
    <row r="132" ht="15" customHeight="1" s="44">
      <c r="A132" s="51" t="inlineStr">
        <is>
          <t>85325</t>
        </is>
      </c>
      <c r="B132" s="51" t="inlineStr">
        <is>
          <t>La Paz</t>
        </is>
      </c>
      <c r="C132" s="53" t="n">
        <v>847</v>
      </c>
      <c r="D132" s="73" t="n">
        <v>1</v>
      </c>
      <c r="E132" s="70" t="n">
        <v>76.94628099173551</v>
      </c>
      <c r="F132" s="70" t="n">
        <v>69.7643881818111</v>
      </c>
      <c r="G132" s="51" t="n">
        <v>30</v>
      </c>
      <c r="H132" s="73" t="n">
        <v>1</v>
      </c>
      <c r="I132" s="51" t="inlineStr">
        <is>
          <t>LD30 (100%)</t>
        </is>
      </c>
    </row>
    <row r="133" ht="15" customHeight="1" s="44">
      <c r="A133" s="51" t="inlineStr">
        <is>
          <t>85326</t>
        </is>
      </c>
      <c r="B133" s="51" t="inlineStr">
        <is>
          <t>Maricopa</t>
        </is>
      </c>
      <c r="C133" s="53" t="n">
        <v>72959</v>
      </c>
      <c r="D133" s="73" t="n">
        <v>0.936169629517949</v>
      </c>
      <c r="E133" s="70" t="n">
        <v>78.68316593950399</v>
      </c>
      <c r="F133" s="70" t="n">
        <v>77.38678559065281</v>
      </c>
      <c r="G133" s="51" t="n">
        <v>25</v>
      </c>
      <c r="H133" s="73" t="n">
        <v>0.9270960402417801</v>
      </c>
      <c r="I133" s="51" t="inlineStr">
        <is>
          <t>LD25 (93%); LD23 (7%)</t>
        </is>
      </c>
    </row>
    <row r="134" ht="15" customHeight="1" s="44">
      <c r="A134" s="51" t="inlineStr">
        <is>
          <t>85328</t>
        </is>
      </c>
      <c r="B134" s="51" t="inlineStr">
        <is>
          <t>La Paz</t>
        </is>
      </c>
      <c r="C134" s="53" t="n">
        <v>208</v>
      </c>
      <c r="D134" s="73" t="n">
        <v>1</v>
      </c>
      <c r="E134" s="70" t="n">
        <v>79.09999999999999</v>
      </c>
      <c r="F134" s="70" t="n">
        <v>71.9181071900756</v>
      </c>
      <c r="G134" s="51" t="n">
        <v>30</v>
      </c>
      <c r="H134" s="73" t="n">
        <v>1</v>
      </c>
      <c r="I134" s="51" t="inlineStr">
        <is>
          <t>LD30 (100%)</t>
        </is>
      </c>
    </row>
    <row r="135" ht="15" customHeight="1" s="44">
      <c r="A135" s="51" t="inlineStr">
        <is>
          <t>85329</t>
        </is>
      </c>
      <c r="B135" s="51" t="inlineStr">
        <is>
          <t>Maricopa</t>
        </is>
      </c>
      <c r="C135" s="53" t="n">
        <v>2438</v>
      </c>
      <c r="D135" s="73" t="n">
        <v>1</v>
      </c>
      <c r="E135" s="70" t="n">
        <v>76.3</v>
      </c>
      <c r="F135" s="70" t="n">
        <v>75.0036196511488</v>
      </c>
      <c r="G135" s="51" t="n">
        <v>22</v>
      </c>
      <c r="H135" s="73" t="n">
        <v>1</v>
      </c>
      <c r="I135" s="51" t="inlineStr">
        <is>
          <t>LD22 (100%)</t>
        </is>
      </c>
    </row>
    <row r="136" ht="15" customHeight="1" s="44">
      <c r="A136" s="51" t="inlineStr">
        <is>
          <t>85331</t>
        </is>
      </c>
      <c r="B136" s="51" t="inlineStr">
        <is>
          <t>Maricopa</t>
        </is>
      </c>
      <c r="C136" s="53" t="n">
        <v>31038</v>
      </c>
      <c r="D136" s="73" t="n">
        <v>0.82862942199884</v>
      </c>
      <c r="E136" s="70" t="n">
        <v>82.4678992184766</v>
      </c>
      <c r="F136" s="70" t="n">
        <v>81.1715188696254</v>
      </c>
      <c r="G136" s="51" t="n">
        <v>3</v>
      </c>
      <c r="H136" s="73" t="n">
        <v>1</v>
      </c>
      <c r="I136" s="51" t="inlineStr">
        <is>
          <t>LD3 (100%)</t>
        </is>
      </c>
    </row>
    <row r="137" ht="15" customHeight="1" s="44">
      <c r="A137" s="51" t="inlineStr">
        <is>
          <t>85332</t>
        </is>
      </c>
      <c r="B137" s="51" t="inlineStr">
        <is>
          <t>Yavapai</t>
        </is>
      </c>
      <c r="C137" s="53" t="n">
        <v>1912</v>
      </c>
      <c r="D137" s="73" t="n">
        <v>1</v>
      </c>
      <c r="E137" s="70" t="n">
        <v>85.55230125523011</v>
      </c>
      <c r="F137" s="70" t="n">
        <v>83.1309560375434</v>
      </c>
      <c r="G137" s="51" t="n">
        <v>1</v>
      </c>
      <c r="H137" s="73" t="n">
        <v>1</v>
      </c>
      <c r="I137" s="51" t="inlineStr">
        <is>
          <t>LD1 (100%)</t>
        </is>
      </c>
    </row>
    <row r="138" ht="15" customHeight="1" s="44">
      <c r="A138" s="51" t="inlineStr">
        <is>
          <t>85333</t>
        </is>
      </c>
      <c r="B138" s="51" t="inlineStr">
        <is>
          <t>Yuma</t>
        </is>
      </c>
      <c r="C138" s="53" t="n">
        <v>428</v>
      </c>
      <c r="D138" s="73" t="n">
        <v>0.203271028037383</v>
      </c>
      <c r="E138" s="70" t="n">
        <v>78.24252873563221</v>
      </c>
      <c r="F138" s="70" t="n">
        <v>76.946148386781</v>
      </c>
      <c r="G138" s="51" t="n">
        <v>25</v>
      </c>
      <c r="H138" s="73" t="n">
        <v>1</v>
      </c>
      <c r="I138" s="51" t="inlineStr">
        <is>
          <t>LD25 (100%)</t>
        </is>
      </c>
    </row>
    <row r="139" ht="15" customHeight="1" s="44">
      <c r="A139" s="51" t="inlineStr">
        <is>
          <t>85334</t>
        </is>
      </c>
      <c r="B139" s="51" t="inlineStr">
        <is>
          <t>La Paz</t>
        </is>
      </c>
      <c r="C139" s="53" t="n">
        <v>775</v>
      </c>
      <c r="D139" s="73" t="n">
        <v>1</v>
      </c>
      <c r="E139" s="70" t="n">
        <v>79.09999999999999</v>
      </c>
      <c r="F139" s="70" t="n">
        <v>71.9181071900756</v>
      </c>
      <c r="G139" s="51" t="n">
        <v>30</v>
      </c>
      <c r="H139" s="73" t="n">
        <v>1</v>
      </c>
      <c r="I139" s="51" t="inlineStr">
        <is>
          <t>LD30 (100%)</t>
        </is>
      </c>
    </row>
    <row r="140" ht="15" customHeight="1" s="44">
      <c r="A140" s="51" t="inlineStr">
        <is>
          <t>85335</t>
        </is>
      </c>
      <c r="B140" s="51" t="inlineStr">
        <is>
          <t>Maricopa</t>
        </is>
      </c>
      <c r="C140" s="53" t="n">
        <v>35815</v>
      </c>
      <c r="D140" s="73" t="n">
        <v>0.7888873377076639</v>
      </c>
      <c r="E140" s="70" t="n">
        <v>76.0768103631344</v>
      </c>
      <c r="F140" s="70" t="n">
        <v>74.7804300142833</v>
      </c>
      <c r="G140" s="51" t="n">
        <v>29</v>
      </c>
      <c r="H140" s="73" t="n">
        <v>1</v>
      </c>
      <c r="I140" s="51" t="inlineStr">
        <is>
          <t>LD29 (100%)</t>
        </is>
      </c>
    </row>
    <row r="141" ht="15" customHeight="1" s="44">
      <c r="A141" s="51" t="inlineStr">
        <is>
          <t>85336</t>
        </is>
      </c>
      <c r="B141" s="51" t="inlineStr">
        <is>
          <t>Yuma</t>
        </is>
      </c>
      <c r="C141" s="53" t="n">
        <v>7810</v>
      </c>
      <c r="D141" s="73" t="n">
        <v>1</v>
      </c>
      <c r="E141" s="70" t="n">
        <v>77.2184507042254</v>
      </c>
      <c r="F141" s="70" t="n">
        <v>76.8366341017353</v>
      </c>
      <c r="G141" s="51" t="n">
        <v>23</v>
      </c>
      <c r="H141" s="73" t="n">
        <v>1</v>
      </c>
      <c r="I141" s="51" t="inlineStr">
        <is>
          <t>LD23 (100%)</t>
        </is>
      </c>
    </row>
    <row r="142" ht="15" customHeight="1" s="44">
      <c r="A142" s="51" t="inlineStr">
        <is>
          <t>85337</t>
        </is>
      </c>
      <c r="B142" s="51" t="inlineStr">
        <is>
          <t>Maricopa</t>
        </is>
      </c>
      <c r="C142" s="53" t="n">
        <v>2473</v>
      </c>
      <c r="D142" s="73" t="n">
        <v>0.990699555196118</v>
      </c>
      <c r="E142" s="70" t="n">
        <v>76.7170612244898</v>
      </c>
      <c r="F142" s="70" t="n">
        <v>75.4206808756386</v>
      </c>
      <c r="G142" s="51" t="n">
        <v>23</v>
      </c>
      <c r="H142" s="73" t="n">
        <v>0.982207844723008</v>
      </c>
      <c r="I142" s="51" t="inlineStr">
        <is>
          <t>LD23 (98%)</t>
        </is>
      </c>
    </row>
    <row r="143" ht="15" customHeight="1" s="44">
      <c r="A143" s="51" t="inlineStr">
        <is>
          <t>85338</t>
        </is>
      </c>
      <c r="B143" s="51" t="inlineStr">
        <is>
          <t>Maricopa</t>
        </is>
      </c>
      <c r="C143" s="53" t="n">
        <v>59313</v>
      </c>
      <c r="D143" s="73" t="n">
        <v>0.923069141672146</v>
      </c>
      <c r="E143" s="70" t="n">
        <v>81.0476840182648</v>
      </c>
      <c r="F143" s="70" t="n">
        <v>79.7513036694136</v>
      </c>
      <c r="G143" s="51" t="n">
        <v>23</v>
      </c>
      <c r="H143" s="73" t="n">
        <v>0.993879925142886</v>
      </c>
      <c r="I143" s="51" t="inlineStr">
        <is>
          <t>LD23 (99%)</t>
        </is>
      </c>
    </row>
    <row r="144" ht="15" customHeight="1" s="44">
      <c r="A144" s="51" t="inlineStr">
        <is>
          <t>85339</t>
        </is>
      </c>
      <c r="B144" s="51" t="inlineStr">
        <is>
          <t>Maricopa</t>
        </is>
      </c>
      <c r="C144" s="53" t="n">
        <v>50447</v>
      </c>
      <c r="D144" s="73" t="n">
        <v>0.632485578924416</v>
      </c>
      <c r="E144" s="70" t="n">
        <v>78.1455291942207</v>
      </c>
      <c r="F144" s="70" t="n">
        <v>76.8491488453695</v>
      </c>
      <c r="G144" s="51" t="n">
        <v>11</v>
      </c>
      <c r="H144" s="73" t="n">
        <v>0.928439748647095</v>
      </c>
      <c r="I144" s="51" t="inlineStr">
        <is>
          <t>LD11 (93%); LD16 (7%)</t>
        </is>
      </c>
    </row>
    <row r="145" ht="15" customHeight="1" s="44">
      <c r="A145" s="51" t="inlineStr">
        <is>
          <t>85340</t>
        </is>
      </c>
      <c r="B145" s="51" t="inlineStr">
        <is>
          <t>Maricopa</t>
        </is>
      </c>
      <c r="C145" s="53" t="n">
        <v>33778</v>
      </c>
      <c r="D145" s="73" t="n">
        <v>0.940730653087809</v>
      </c>
      <c r="E145" s="70" t="n">
        <v>78.8277505035247</v>
      </c>
      <c r="F145" s="70" t="n">
        <v>77.5313701546735</v>
      </c>
      <c r="G145" s="51" t="n">
        <v>29</v>
      </c>
      <c r="H145" s="73" t="n">
        <v>0.765587068506128</v>
      </c>
      <c r="I145" s="51" t="inlineStr">
        <is>
          <t>LD29 (77%); LD25 (21%); LD22 (3%)</t>
        </is>
      </c>
    </row>
    <row r="146" ht="15" customHeight="1" s="44">
      <c r="A146" s="51" t="inlineStr">
        <is>
          <t>85341</t>
        </is>
      </c>
      <c r="B146" s="51" t="inlineStr">
        <is>
          <t>Pima</t>
        </is>
      </c>
      <c r="C146" s="53" t="n">
        <v>18</v>
      </c>
      <c r="D146" s="73" t="n">
        <v>0</v>
      </c>
      <c r="E146" s="70" t="n"/>
      <c r="F146" s="70" t="n"/>
      <c r="G146" s="51" t="n">
        <v>23</v>
      </c>
      <c r="H146" s="73" t="n">
        <v>1</v>
      </c>
      <c r="I146" s="51" t="inlineStr">
        <is>
          <t>LD23 (100%)</t>
        </is>
      </c>
    </row>
    <row r="147" ht="15" customHeight="1" s="44">
      <c r="A147" s="51" t="inlineStr">
        <is>
          <t>85342</t>
        </is>
      </c>
      <c r="B147" s="51" t="inlineStr">
        <is>
          <t>Maricopa</t>
        </is>
      </c>
      <c r="C147" s="53" t="n">
        <v>1478</v>
      </c>
      <c r="D147" s="73" t="n">
        <v>1</v>
      </c>
      <c r="E147" s="70" t="n">
        <v>80.2332205683356</v>
      </c>
      <c r="F147" s="70" t="n">
        <v>78.8789935821153</v>
      </c>
      <c r="G147" s="51" t="n">
        <v>29</v>
      </c>
      <c r="H147" s="73" t="n">
        <v>0.943166441136671</v>
      </c>
      <c r="I147" s="51" t="inlineStr">
        <is>
          <t>LD29 (94%); LD1 (5%)</t>
        </is>
      </c>
    </row>
    <row r="148" ht="15" customHeight="1" s="44">
      <c r="A148" s="51" t="inlineStr">
        <is>
          <t>85343</t>
        </is>
      </c>
      <c r="B148" s="51" t="inlineStr">
        <is>
          <t>Maricopa</t>
        </is>
      </c>
      <c r="C148" s="53" t="n">
        <v>164</v>
      </c>
      <c r="D148" s="73" t="n">
        <v>1</v>
      </c>
      <c r="E148" s="70" t="n">
        <v>74.5</v>
      </c>
      <c r="F148" s="70" t="n">
        <v>73.2036196511488</v>
      </c>
      <c r="G148" s="51" t="n">
        <v>25</v>
      </c>
      <c r="H148" s="73" t="n">
        <v>1</v>
      </c>
      <c r="I148" s="51" t="inlineStr">
        <is>
          <t>LD25 (100%)</t>
        </is>
      </c>
    </row>
    <row r="149" ht="15" customHeight="1" s="44">
      <c r="A149" s="51" t="inlineStr">
        <is>
          <t>85344</t>
        </is>
      </c>
      <c r="B149" s="51" t="inlineStr">
        <is>
          <t>La Paz</t>
        </is>
      </c>
      <c r="C149" s="53" t="n">
        <v>9137</v>
      </c>
      <c r="D149" s="73" t="n">
        <v>0.936412389186823</v>
      </c>
      <c r="E149" s="70" t="n">
        <v>75.21465638148671</v>
      </c>
      <c r="F149" s="70" t="n">
        <v>68.0327635715623</v>
      </c>
      <c r="G149" s="51" t="n">
        <v>30</v>
      </c>
      <c r="H149" s="73" t="n">
        <v>1</v>
      </c>
      <c r="I149" s="51" t="inlineStr">
        <is>
          <t>LD30 (100%)</t>
        </is>
      </c>
    </row>
    <row r="150" ht="15" customHeight="1" s="44">
      <c r="A150" s="51" t="inlineStr">
        <is>
          <t>85345</t>
        </is>
      </c>
      <c r="B150" s="51" t="inlineStr">
        <is>
          <t>Maricopa</t>
        </is>
      </c>
      <c r="C150" s="53" t="n">
        <v>61024</v>
      </c>
      <c r="D150" s="73" t="n">
        <v>0.917917540639748</v>
      </c>
      <c r="E150" s="70" t="n">
        <v>77.86833526733911</v>
      </c>
      <c r="F150" s="70" t="n">
        <v>76.5719549184879</v>
      </c>
      <c r="G150" s="51" t="n">
        <v>27</v>
      </c>
      <c r="H150" s="73" t="n">
        <v>0.874180650235973</v>
      </c>
      <c r="I150" s="51" t="inlineStr">
        <is>
          <t>LD27 (87%); LD29 (7%); LD28 (3%); LD24 (2%)</t>
        </is>
      </c>
    </row>
    <row r="151" ht="15" customHeight="1" s="44">
      <c r="A151" s="51" t="inlineStr">
        <is>
          <t>85346</t>
        </is>
      </c>
      <c r="B151" s="51" t="inlineStr">
        <is>
          <t>La Paz</t>
        </is>
      </c>
      <c r="C151" s="53" t="n">
        <v>2803</v>
      </c>
      <c r="D151" s="73" t="n">
        <v>1</v>
      </c>
      <c r="E151" s="70" t="n">
        <v>77.5994648590796</v>
      </c>
      <c r="F151" s="70" t="n">
        <v>70.4175720491552</v>
      </c>
      <c r="G151" s="51" t="n">
        <v>30</v>
      </c>
      <c r="H151" s="73" t="n">
        <v>1</v>
      </c>
      <c r="I151" s="51" t="inlineStr">
        <is>
          <t>LD30 (100%)</t>
        </is>
      </c>
    </row>
    <row r="152" ht="15" customHeight="1" s="44">
      <c r="A152" s="51" t="inlineStr">
        <is>
          <t>85347</t>
        </is>
      </c>
      <c r="B152" s="51" t="inlineStr">
        <is>
          <t>Yuma</t>
        </is>
      </c>
      <c r="C152" s="53" t="n">
        <v>310</v>
      </c>
      <c r="D152" s="73" t="n">
        <v>0.909677419354839</v>
      </c>
      <c r="E152" s="70" t="n">
        <v>77.8</v>
      </c>
      <c r="F152" s="70" t="n">
        <v>77.41818339751001</v>
      </c>
      <c r="G152" s="51" t="n">
        <v>25</v>
      </c>
      <c r="H152" s="73" t="n">
        <v>1</v>
      </c>
      <c r="I152" s="51" t="inlineStr">
        <is>
          <t>LD25 (100%)</t>
        </is>
      </c>
    </row>
    <row r="153" ht="15" customHeight="1" s="44">
      <c r="A153" s="51" t="inlineStr">
        <is>
          <t>85348</t>
        </is>
      </c>
      <c r="B153" s="51" t="inlineStr">
        <is>
          <t>La Paz</t>
        </is>
      </c>
      <c r="C153" s="53" t="n">
        <v>2083</v>
      </c>
      <c r="D153" s="73" t="n">
        <v>1</v>
      </c>
      <c r="E153" s="70" t="n">
        <v>77.7883341334614</v>
      </c>
      <c r="F153" s="70" t="n">
        <v>70.606441323537</v>
      </c>
      <c r="G153" s="51" t="n">
        <v>30</v>
      </c>
      <c r="H153" s="73" t="n">
        <v>1</v>
      </c>
      <c r="I153" s="51" t="inlineStr">
        <is>
          <t>LD30 (100%)</t>
        </is>
      </c>
    </row>
    <row r="154" ht="15" customHeight="1" s="44">
      <c r="A154" s="51" t="inlineStr">
        <is>
          <t>85349</t>
        </is>
      </c>
      <c r="B154" s="51" t="inlineStr">
        <is>
          <t>Yuma</t>
        </is>
      </c>
      <c r="C154" s="53" t="n">
        <v>28039</v>
      </c>
      <c r="D154" s="73" t="n">
        <v>0.982060701166233</v>
      </c>
      <c r="E154" s="70" t="n">
        <v>77.3533192911098</v>
      </c>
      <c r="F154" s="70" t="n">
        <v>76.97150268861979</v>
      </c>
      <c r="G154" s="51" t="n">
        <v>23</v>
      </c>
      <c r="H154" s="73" t="n">
        <v>1</v>
      </c>
      <c r="I154" s="51" t="inlineStr">
        <is>
          <t>LD23 (100%)</t>
        </is>
      </c>
    </row>
    <row r="155" ht="15" customHeight="1" s="44">
      <c r="A155" s="51" t="inlineStr">
        <is>
          <t>85350</t>
        </is>
      </c>
      <c r="B155" s="51" t="inlineStr">
        <is>
          <t>Yuma</t>
        </is>
      </c>
      <c r="C155" s="53" t="n">
        <v>18486</v>
      </c>
      <c r="D155" s="73" t="n">
        <v>1</v>
      </c>
      <c r="E155" s="70" t="n">
        <v>77.2013307367738</v>
      </c>
      <c r="F155" s="70" t="n">
        <v>76.81951413428369</v>
      </c>
      <c r="G155" s="51" t="n">
        <v>23</v>
      </c>
      <c r="H155" s="73" t="n">
        <v>0.989126906848426</v>
      </c>
      <c r="I155" s="51" t="inlineStr">
        <is>
          <t>LD23 (99%)</t>
        </is>
      </c>
    </row>
    <row r="156" ht="15" customHeight="1" s="44">
      <c r="A156" s="51" t="inlineStr">
        <is>
          <t>85351</t>
        </is>
      </c>
      <c r="B156" s="51" t="inlineStr">
        <is>
          <t>Maricopa</t>
        </is>
      </c>
      <c r="C156" s="53" t="n">
        <v>29795</v>
      </c>
      <c r="D156" s="73" t="n">
        <v>0.171471723443531</v>
      </c>
      <c r="E156" s="70" t="n">
        <v>73.3105108631826</v>
      </c>
      <c r="F156" s="70" t="n">
        <v>72.0141305143314</v>
      </c>
      <c r="G156" s="51" t="n">
        <v>28</v>
      </c>
      <c r="H156" s="73" t="n">
        <v>1</v>
      </c>
      <c r="I156" s="51" t="inlineStr">
        <is>
          <t>LD28 (100%)</t>
        </is>
      </c>
    </row>
    <row r="157" ht="15" customHeight="1" s="44">
      <c r="A157" s="51" t="inlineStr">
        <is>
          <t>85352</t>
        </is>
      </c>
      <c r="B157" s="51" t="inlineStr">
        <is>
          <t>Yuma</t>
        </is>
      </c>
      <c r="C157" s="53" t="n">
        <v>388</v>
      </c>
      <c r="D157" s="73" t="n">
        <v>1</v>
      </c>
      <c r="E157" s="70" t="n">
        <v>77.8</v>
      </c>
      <c r="F157" s="70" t="n">
        <v>77.41818339751001</v>
      </c>
      <c r="G157" s="51" t="n">
        <v>25</v>
      </c>
      <c r="H157" s="73" t="n">
        <v>1</v>
      </c>
      <c r="I157" s="51" t="inlineStr">
        <is>
          <t>LD25 (100%)</t>
        </is>
      </c>
    </row>
    <row r="158" ht="15" customHeight="1" s="44">
      <c r="A158" s="51" t="inlineStr">
        <is>
          <t>85353</t>
        </is>
      </c>
      <c r="B158" s="51" t="inlineStr">
        <is>
          <t>Maricopa</t>
        </is>
      </c>
      <c r="C158" s="53" t="n">
        <v>42936</v>
      </c>
      <c r="D158" s="73" t="n">
        <v>0.595584125209614</v>
      </c>
      <c r="E158" s="70" t="n">
        <v>77.82173862036601</v>
      </c>
      <c r="F158" s="70" t="n">
        <v>76.5253582715148</v>
      </c>
      <c r="G158" s="51" t="n">
        <v>22</v>
      </c>
      <c r="H158" s="73" t="n">
        <v>1</v>
      </c>
      <c r="I158" s="51" t="inlineStr">
        <is>
          <t>LD22 (100%)</t>
        </is>
      </c>
    </row>
    <row r="159" ht="15" customHeight="1" s="44">
      <c r="A159" s="51" t="inlineStr">
        <is>
          <t>85354</t>
        </is>
      </c>
      <c r="B159" s="51" t="inlineStr">
        <is>
          <t>Maricopa</t>
        </is>
      </c>
      <c r="C159" s="53" t="n">
        <v>7200</v>
      </c>
      <c r="D159" s="73" t="n">
        <v>1</v>
      </c>
      <c r="E159" s="70" t="n">
        <v>77.30500000000001</v>
      </c>
      <c r="F159" s="70" t="n">
        <v>76.00861965114881</v>
      </c>
      <c r="G159" s="51" t="n">
        <v>25</v>
      </c>
      <c r="H159" s="73" t="n">
        <v>1</v>
      </c>
      <c r="I159" s="51" t="inlineStr">
        <is>
          <t>LD25 (100%)</t>
        </is>
      </c>
    </row>
    <row r="160" ht="15" customHeight="1" s="44">
      <c r="A160" s="51" t="inlineStr">
        <is>
          <t>85355</t>
        </is>
      </c>
      <c r="B160" s="51" t="inlineStr">
        <is>
          <t>Maricopa</t>
        </is>
      </c>
      <c r="C160" s="53" t="n">
        <v>12930</v>
      </c>
      <c r="D160" s="73" t="n">
        <v>1</v>
      </c>
      <c r="E160" s="70" t="n">
        <v>80.16101314771851</v>
      </c>
      <c r="F160" s="70" t="n">
        <v>78.86463279886731</v>
      </c>
      <c r="G160" s="51" t="n">
        <v>25</v>
      </c>
      <c r="H160" s="73" t="n">
        <v>0.9624129930394431</v>
      </c>
      <c r="I160" s="51" t="inlineStr">
        <is>
          <t>LD25 (96%); LD29 (4%)</t>
        </is>
      </c>
    </row>
    <row r="161" ht="15" customHeight="1" s="44">
      <c r="A161" s="51" t="inlineStr">
        <is>
          <t>85356</t>
        </is>
      </c>
      <c r="B161" s="51" t="inlineStr">
        <is>
          <t>Yuma</t>
        </is>
      </c>
      <c r="C161" s="53" t="n">
        <v>3487</v>
      </c>
      <c r="D161" s="73" t="n">
        <v>0.998852882133639</v>
      </c>
      <c r="E161" s="70" t="n">
        <v>81.2118001722653</v>
      </c>
      <c r="F161" s="70" t="n">
        <v>80.82998356977519</v>
      </c>
      <c r="G161" s="51" t="n">
        <v>25</v>
      </c>
      <c r="H161" s="73" t="n">
        <v>0.998852882133639</v>
      </c>
      <c r="I161" s="51" t="inlineStr">
        <is>
          <t>LD25 (100%)</t>
        </is>
      </c>
    </row>
    <row r="162" ht="15" customHeight="1" s="44">
      <c r="A162" s="51" t="inlineStr">
        <is>
          <t>85357</t>
        </is>
      </c>
      <c r="B162" s="51" t="inlineStr">
        <is>
          <t>La Paz</t>
        </is>
      </c>
      <c r="C162" s="53" t="n">
        <v>438</v>
      </c>
      <c r="D162" s="73" t="n">
        <v>1</v>
      </c>
      <c r="E162" s="70" t="n">
        <v>78.90000000000001</v>
      </c>
      <c r="F162" s="70" t="n">
        <v>71.7181071900756</v>
      </c>
      <c r="G162" s="51" t="n">
        <v>30</v>
      </c>
      <c r="H162" s="73" t="n">
        <v>1</v>
      </c>
      <c r="I162" s="51" t="inlineStr">
        <is>
          <t>LD30 (100%)</t>
        </is>
      </c>
    </row>
    <row r="163" ht="15" customHeight="1" s="44">
      <c r="A163" s="51" t="inlineStr">
        <is>
          <t>85360</t>
        </is>
      </c>
      <c r="B163" s="51" t="inlineStr">
        <is>
          <t>Mohave</t>
        </is>
      </c>
      <c r="C163" s="53" t="n">
        <v>222</v>
      </c>
      <c r="D163" s="73" t="n">
        <v>1</v>
      </c>
      <c r="E163" s="70" t="n">
        <v>84.8</v>
      </c>
      <c r="F163" s="70" t="n">
        <v>81.9242623926152</v>
      </c>
      <c r="G163" s="51" t="n">
        <v>30</v>
      </c>
      <c r="H163" s="73" t="n">
        <v>1</v>
      </c>
      <c r="I163" s="51" t="inlineStr">
        <is>
          <t>LD30 (100%)</t>
        </is>
      </c>
    </row>
    <row r="164" ht="15" customHeight="1" s="44">
      <c r="A164" s="51" t="inlineStr">
        <is>
          <t>85361</t>
        </is>
      </c>
      <c r="B164" s="51" t="inlineStr">
        <is>
          <t>Maricopa</t>
        </is>
      </c>
      <c r="C164" s="53" t="n">
        <v>6954</v>
      </c>
      <c r="D164" s="73" t="n">
        <v>1</v>
      </c>
      <c r="E164" s="70" t="n">
        <v>78.3678170836928</v>
      </c>
      <c r="F164" s="70" t="n">
        <v>77.0714367348417</v>
      </c>
      <c r="G164" s="51" t="n">
        <v>29</v>
      </c>
      <c r="H164" s="73" t="n">
        <v>0.952113891285591</v>
      </c>
      <c r="I164" s="51" t="inlineStr">
        <is>
          <t>LD29 (95%); LD30 (5%)</t>
        </is>
      </c>
    </row>
    <row r="165" ht="15" customHeight="1" s="44">
      <c r="A165" s="51" t="inlineStr">
        <is>
          <t>85362</t>
        </is>
      </c>
      <c r="B165" s="51" t="inlineStr">
        <is>
          <t>Yavapai</t>
        </is>
      </c>
      <c r="C165" s="53" t="n">
        <v>569</v>
      </c>
      <c r="D165" s="73" t="n">
        <v>1</v>
      </c>
      <c r="E165" s="70" t="n">
        <v>86.6274165202109</v>
      </c>
      <c r="F165" s="70" t="n">
        <v>84.20607130252409</v>
      </c>
      <c r="G165" s="51" t="n">
        <v>1</v>
      </c>
      <c r="H165" s="73" t="n">
        <v>1</v>
      </c>
      <c r="I165" s="51" t="inlineStr">
        <is>
          <t>LD1 (100%)</t>
        </is>
      </c>
    </row>
    <row r="166" ht="15" customHeight="1" s="44">
      <c r="A166" s="51" t="inlineStr">
        <is>
          <t>85363</t>
        </is>
      </c>
      <c r="B166" s="51" t="inlineStr">
        <is>
          <t>Maricopa</t>
        </is>
      </c>
      <c r="C166" s="53" t="n">
        <v>7056</v>
      </c>
      <c r="D166" s="73" t="n">
        <v>1</v>
      </c>
      <c r="E166" s="70" t="n">
        <v>73.665306122449</v>
      </c>
      <c r="F166" s="70" t="n">
        <v>72.36892577359779</v>
      </c>
      <c r="G166" s="51" t="n">
        <v>29</v>
      </c>
      <c r="H166" s="73" t="n">
        <v>1</v>
      </c>
      <c r="I166" s="51" t="inlineStr">
        <is>
          <t>LD29 (100%)</t>
        </is>
      </c>
    </row>
    <row r="167" ht="15" customHeight="1" s="44">
      <c r="A167" s="51" t="inlineStr">
        <is>
          <t>85364</t>
        </is>
      </c>
      <c r="B167" s="51" t="inlineStr">
        <is>
          <t>Yuma</t>
        </is>
      </c>
      <c r="C167" s="53" t="n">
        <v>73550</v>
      </c>
      <c r="D167" s="73" t="n">
        <v>0.9749150237933381</v>
      </c>
      <c r="E167" s="70" t="n">
        <v>77.7928540548079</v>
      </c>
      <c r="F167" s="70" t="n">
        <v>77.4110374523178</v>
      </c>
      <c r="G167" s="51" t="n">
        <v>23</v>
      </c>
      <c r="H167" s="73" t="n">
        <v>0.885003399048267</v>
      </c>
      <c r="I167" s="51" t="inlineStr">
        <is>
          <t>LD23 (89%); LD25 (11%)</t>
        </is>
      </c>
    </row>
    <row r="168" ht="15" customHeight="1" s="44">
      <c r="A168" s="51" t="inlineStr">
        <is>
          <t>85365</t>
        </is>
      </c>
      <c r="B168" s="51" t="inlineStr">
        <is>
          <t>Yuma</t>
        </is>
      </c>
      <c r="C168" s="53" t="n">
        <v>50166</v>
      </c>
      <c r="D168" s="73" t="n">
        <v>0.847147470398278</v>
      </c>
      <c r="E168" s="70" t="n">
        <v>78.8899571744553</v>
      </c>
      <c r="F168" s="70" t="n">
        <v>78.5081405719652</v>
      </c>
      <c r="G168" s="51" t="n">
        <v>25</v>
      </c>
      <c r="H168" s="73" t="n">
        <v>0.940138739385241</v>
      </c>
      <c r="I168" s="51" t="inlineStr">
        <is>
          <t>LD25 (94%); LD23 (6%)</t>
        </is>
      </c>
    </row>
    <row r="169" ht="15" customHeight="1" s="44">
      <c r="A169" s="51" t="inlineStr">
        <is>
          <t>85367</t>
        </is>
      </c>
      <c r="B169" s="51" t="inlineStr">
        <is>
          <t>Yuma</t>
        </is>
      </c>
      <c r="C169" s="53" t="n">
        <v>21303</v>
      </c>
      <c r="D169" s="73" t="n">
        <v>0.842557386283622</v>
      </c>
      <c r="E169" s="70" t="n">
        <v>80.0592846398128</v>
      </c>
      <c r="F169" s="70" t="n">
        <v>79.6774680373228</v>
      </c>
      <c r="G169" s="51" t="n">
        <v>25</v>
      </c>
      <c r="H169" s="73" t="n">
        <v>1</v>
      </c>
      <c r="I169" s="51" t="inlineStr">
        <is>
          <t>LD25 (100%)</t>
        </is>
      </c>
    </row>
    <row r="170" ht="15" customHeight="1" s="44">
      <c r="A170" s="51" t="inlineStr">
        <is>
          <t>85371</t>
        </is>
      </c>
      <c r="B170" s="51" t="inlineStr">
        <is>
          <t>La Paz</t>
        </is>
      </c>
      <c r="C170" s="53" t="n">
        <v>266</v>
      </c>
      <c r="D170" s="73" t="n">
        <v>1</v>
      </c>
      <c r="E170" s="70" t="n">
        <v>81.90000000000001</v>
      </c>
      <c r="F170" s="70" t="n">
        <v>74.7181071900756</v>
      </c>
      <c r="G170" s="51" t="n">
        <v>30</v>
      </c>
      <c r="H170" s="73" t="n">
        <v>1</v>
      </c>
      <c r="I170" s="51" t="inlineStr">
        <is>
          <t>LD30 (100%)</t>
        </is>
      </c>
    </row>
    <row r="171" ht="15" customHeight="1" s="44">
      <c r="A171" s="51" t="inlineStr">
        <is>
          <t>85373</t>
        </is>
      </c>
      <c r="B171" s="51" t="inlineStr">
        <is>
          <t>Maricopa</t>
        </is>
      </c>
      <c r="C171" s="53" t="n">
        <v>19629</v>
      </c>
      <c r="D171" s="73" t="n">
        <v>0.43634418462479</v>
      </c>
      <c r="E171" s="70" t="n">
        <v>79.8709632224168</v>
      </c>
      <c r="F171" s="70" t="n">
        <v>78.5745828735656</v>
      </c>
      <c r="G171" s="51" t="n">
        <v>28</v>
      </c>
      <c r="H171" s="73" t="n">
        <v>1</v>
      </c>
      <c r="I171" s="51" t="inlineStr">
        <is>
          <t>LD28 (100%)</t>
        </is>
      </c>
    </row>
    <row r="172" ht="15" customHeight="1" s="44">
      <c r="A172" s="51" t="inlineStr">
        <is>
          <t>85374</t>
        </is>
      </c>
      <c r="B172" s="51" t="inlineStr">
        <is>
          <t>Maricopa</t>
        </is>
      </c>
      <c r="C172" s="53" t="n">
        <v>41182</v>
      </c>
      <c r="D172" s="73" t="n">
        <v>0.7071536108008351</v>
      </c>
      <c r="E172" s="70" t="n">
        <v>79.2145663072591</v>
      </c>
      <c r="F172" s="70" t="n">
        <v>77.918185958408</v>
      </c>
      <c r="G172" s="51" t="n">
        <v>29</v>
      </c>
      <c r="H172" s="73" t="n">
        <v>1</v>
      </c>
      <c r="I172" s="51" t="inlineStr">
        <is>
          <t>LD29 (100%)</t>
        </is>
      </c>
    </row>
    <row r="173" ht="15" customHeight="1" s="44">
      <c r="A173" s="51" t="inlineStr">
        <is>
          <t>85375</t>
        </is>
      </c>
      <c r="B173" s="51" t="inlineStr">
        <is>
          <t>Maricopa</t>
        </is>
      </c>
      <c r="C173" s="53" t="n">
        <v>27944</v>
      </c>
      <c r="D173" s="73" t="n">
        <v>0.108967935871744</v>
      </c>
      <c r="E173" s="70" t="n">
        <v>80.2</v>
      </c>
      <c r="F173" s="70" t="n">
        <v>78.9036196511488</v>
      </c>
      <c r="G173" s="51" t="n">
        <v>28</v>
      </c>
      <c r="H173" s="73" t="n">
        <v>1</v>
      </c>
      <c r="I173" s="51" t="inlineStr">
        <is>
          <t>LD28 (100%)</t>
        </is>
      </c>
    </row>
    <row r="174" ht="15" customHeight="1" s="44">
      <c r="A174" s="51" t="inlineStr">
        <is>
          <t>85377</t>
        </is>
      </c>
      <c r="B174" s="51" t="inlineStr">
        <is>
          <t>Maricopa</t>
        </is>
      </c>
      <c r="C174" s="53" t="n">
        <v>3515</v>
      </c>
      <c r="D174" s="73" t="n">
        <v>1</v>
      </c>
      <c r="E174" s="70" t="n">
        <v>88.3006258890469</v>
      </c>
      <c r="F174" s="70" t="n">
        <v>87.0042455401958</v>
      </c>
      <c r="G174" s="51" t="n">
        <v>3</v>
      </c>
      <c r="H174" s="73" t="n">
        <v>1</v>
      </c>
      <c r="I174" s="51" t="inlineStr">
        <is>
          <t>LD3 (100%)</t>
        </is>
      </c>
    </row>
    <row r="175" ht="15" customHeight="1" s="44">
      <c r="A175" s="51" t="inlineStr">
        <is>
          <t>85378</t>
        </is>
      </c>
      <c r="B175" s="51" t="inlineStr">
        <is>
          <t>Maricopa</t>
        </is>
      </c>
      <c r="C175" s="53" t="n">
        <v>9368</v>
      </c>
      <c r="D175" s="73" t="n">
        <v>0.868488471391973</v>
      </c>
      <c r="E175" s="70" t="n">
        <v>80.2467551622419</v>
      </c>
      <c r="F175" s="70" t="n">
        <v>78.9503748133907</v>
      </c>
      <c r="G175" s="51" t="n">
        <v>29</v>
      </c>
      <c r="H175" s="73" t="n">
        <v>0.526152860802733</v>
      </c>
      <c r="I175" s="51" t="inlineStr">
        <is>
          <t>LD29 (53%); LD28 (47%)</t>
        </is>
      </c>
    </row>
    <row r="176" ht="15" customHeight="1" s="44">
      <c r="A176" s="51" t="inlineStr">
        <is>
          <t>85379</t>
        </is>
      </c>
      <c r="B176" s="51" t="inlineStr">
        <is>
          <t>Maricopa</t>
        </is>
      </c>
      <c r="C176" s="53" t="n">
        <v>49441</v>
      </c>
      <c r="D176" s="73" t="n">
        <v>0.7254909892599259</v>
      </c>
      <c r="E176" s="70" t="n">
        <v>79.1175360339012</v>
      </c>
      <c r="F176" s="70" t="n">
        <v>77.82115568505</v>
      </c>
      <c r="G176" s="51" t="n">
        <v>29</v>
      </c>
      <c r="H176" s="73" t="n">
        <v>1</v>
      </c>
      <c r="I176" s="51" t="inlineStr">
        <is>
          <t>LD29 (100%)</t>
        </is>
      </c>
    </row>
    <row r="177" ht="15" customHeight="1" s="44">
      <c r="A177" s="51" t="inlineStr">
        <is>
          <t>85381</t>
        </is>
      </c>
      <c r="B177" s="51" t="inlineStr">
        <is>
          <t>Maricopa</t>
        </is>
      </c>
      <c r="C177" s="53" t="n">
        <v>27008</v>
      </c>
      <c r="D177" s="73" t="n">
        <v>0.979265402843602</v>
      </c>
      <c r="E177" s="70" t="n">
        <v>80.5968806715063</v>
      </c>
      <c r="F177" s="70" t="n">
        <v>79.3005003226552</v>
      </c>
      <c r="G177" s="51" t="n">
        <v>27</v>
      </c>
      <c r="H177" s="73" t="n">
        <v>0.744149881516588</v>
      </c>
      <c r="I177" s="51" t="inlineStr">
        <is>
          <t>LD27 (74%); LD28 (26%)</t>
        </is>
      </c>
    </row>
    <row r="178" ht="15" customHeight="1" s="44">
      <c r="A178" s="51" t="inlineStr">
        <is>
          <t>85382</t>
        </is>
      </c>
      <c r="B178" s="51" t="inlineStr">
        <is>
          <t>Maricopa</t>
        </is>
      </c>
      <c r="C178" s="53" t="n">
        <v>42576</v>
      </c>
      <c r="D178" s="73" t="n">
        <v>0.929819616685457</v>
      </c>
      <c r="E178" s="70" t="n">
        <v>79.6120187935738</v>
      </c>
      <c r="F178" s="70" t="n">
        <v>78.31563844472259</v>
      </c>
      <c r="G178" s="51" t="n">
        <v>28</v>
      </c>
      <c r="H178" s="73" t="n">
        <v>0.8424464487034951</v>
      </c>
      <c r="I178" s="51" t="inlineStr">
        <is>
          <t>LD28 (84%); LD27 (16%)</t>
        </is>
      </c>
    </row>
    <row r="179" ht="15" customHeight="1" s="44">
      <c r="A179" s="51" t="inlineStr">
        <is>
          <t>85383</t>
        </is>
      </c>
      <c r="B179" s="51" t="inlineStr">
        <is>
          <t>Maricopa</t>
        </is>
      </c>
      <c r="C179" s="53" t="n">
        <v>69617</v>
      </c>
      <c r="D179" s="73" t="n">
        <v>0.7394745536291421</v>
      </c>
      <c r="E179" s="70" t="n">
        <v>79.90616355866359</v>
      </c>
      <c r="F179" s="70" t="n">
        <v>78.60978320981241</v>
      </c>
      <c r="G179" s="51" t="n">
        <v>28</v>
      </c>
      <c r="H179" s="73" t="n">
        <v>0.940632316819168</v>
      </c>
      <c r="I179" s="51" t="inlineStr">
        <is>
          <t>LD28 (94%); LD29 (6%)</t>
        </is>
      </c>
    </row>
    <row r="180" ht="15" customHeight="1" s="44">
      <c r="A180" s="51" t="inlineStr">
        <is>
          <t>85387</t>
        </is>
      </c>
      <c r="B180" s="51" t="inlineStr">
        <is>
          <t>Maricopa</t>
        </is>
      </c>
      <c r="C180" s="53" t="n">
        <v>16331</v>
      </c>
      <c r="D180" s="73" t="n">
        <v>0.712265017451473</v>
      </c>
      <c r="E180" s="70" t="n">
        <v>81.0271578404402</v>
      </c>
      <c r="F180" s="70" t="n">
        <v>79.730777491589</v>
      </c>
      <c r="G180" s="51" t="n">
        <v>29</v>
      </c>
      <c r="H180" s="73" t="n">
        <v>1</v>
      </c>
      <c r="I180" s="51" t="inlineStr">
        <is>
          <t>LD29 (100%)</t>
        </is>
      </c>
    </row>
    <row r="181" ht="15" customHeight="1" s="44">
      <c r="A181" s="51" t="inlineStr">
        <is>
          <t>85388</t>
        </is>
      </c>
      <c r="B181" s="51" t="inlineStr">
        <is>
          <t>Maricopa</t>
        </is>
      </c>
      <c r="C181" s="53" t="n">
        <v>30611</v>
      </c>
      <c r="D181" s="73" t="n">
        <v>1</v>
      </c>
      <c r="E181" s="70" t="n">
        <v>77.7417464310215</v>
      </c>
      <c r="F181" s="70" t="n">
        <v>76.4453660821703</v>
      </c>
      <c r="G181" s="51" t="n">
        <v>25</v>
      </c>
      <c r="H181" s="73" t="n">
        <v>0.885008657018719</v>
      </c>
      <c r="I181" s="51" t="inlineStr">
        <is>
          <t>LD25 (89%); LD29 (11%)</t>
        </is>
      </c>
    </row>
    <row r="182" ht="15" customHeight="1" s="44">
      <c r="A182" s="51" t="inlineStr">
        <is>
          <t>85390</t>
        </is>
      </c>
      <c r="B182" s="51" t="inlineStr">
        <is>
          <t>Maricopa</t>
        </is>
      </c>
      <c r="C182" s="53" t="n">
        <v>9102</v>
      </c>
      <c r="D182" s="73" t="n">
        <v>1</v>
      </c>
      <c r="E182" s="70" t="n">
        <v>80.53181718303669</v>
      </c>
      <c r="F182" s="70" t="n">
        <v>79.0626505359398</v>
      </c>
      <c r="G182" s="51" t="n">
        <v>30</v>
      </c>
      <c r="H182" s="73" t="n">
        <v>0.940892111623819</v>
      </c>
      <c r="I182" s="51" t="inlineStr">
        <is>
          <t>LD30 (94%); LD1 (6%)</t>
        </is>
      </c>
    </row>
    <row r="183" ht="15" customHeight="1" s="44">
      <c r="A183" s="51" t="inlineStr">
        <is>
          <t>85392</t>
        </is>
      </c>
      <c r="B183" s="51" t="inlineStr">
        <is>
          <t>Maricopa</t>
        </is>
      </c>
      <c r="C183" s="53" t="n">
        <v>40363</v>
      </c>
      <c r="D183" s="73" t="n">
        <v>0.81299705175532</v>
      </c>
      <c r="E183" s="70" t="n">
        <v>79.0792930062471</v>
      </c>
      <c r="F183" s="70" t="n">
        <v>77.782912657396</v>
      </c>
      <c r="G183" s="51" t="n">
        <v>22</v>
      </c>
      <c r="H183" s="73" t="n">
        <v>1</v>
      </c>
      <c r="I183" s="51" t="inlineStr">
        <is>
          <t>LD22 (100%)</t>
        </is>
      </c>
    </row>
    <row r="184" ht="15" customHeight="1" s="44">
      <c r="A184" s="51" t="inlineStr">
        <is>
          <t>85395</t>
        </is>
      </c>
      <c r="B184" s="51" t="inlineStr">
        <is>
          <t>Maricopa</t>
        </is>
      </c>
      <c r="C184" s="53" t="n">
        <v>37157</v>
      </c>
      <c r="D184" s="73" t="n">
        <v>0.41424226928977</v>
      </c>
      <c r="E184" s="70" t="n">
        <v>83.5293724012474</v>
      </c>
      <c r="F184" s="70" t="n">
        <v>82.2329920523962</v>
      </c>
      <c r="G184" s="51" t="n">
        <v>29</v>
      </c>
      <c r="H184" s="73" t="n">
        <v>0.821002772021423</v>
      </c>
      <c r="I184" s="51" t="inlineStr">
        <is>
          <t>LD29 (82%); LD25 (17%)</t>
        </is>
      </c>
    </row>
    <row r="185" ht="15" customHeight="1" s="44">
      <c r="A185" s="51" t="inlineStr">
        <is>
          <t>85396</t>
        </is>
      </c>
      <c r="B185" s="51" t="inlineStr">
        <is>
          <t>Maricopa</t>
        </is>
      </c>
      <c r="C185" s="53" t="n">
        <v>32990</v>
      </c>
      <c r="D185" s="73" t="n">
        <v>1</v>
      </c>
      <c r="E185" s="70" t="n">
        <v>79.5227887238557</v>
      </c>
      <c r="F185" s="70" t="n">
        <v>78.2264083750045</v>
      </c>
      <c r="G185" s="51" t="n">
        <v>25</v>
      </c>
      <c r="H185" s="73" t="n">
        <v>0.999848438920885</v>
      </c>
      <c r="I185" s="51" t="inlineStr">
        <is>
          <t>LD25 (100%)</t>
        </is>
      </c>
    </row>
    <row r="186" ht="15" customHeight="1" s="44">
      <c r="A186" s="51" t="inlineStr">
        <is>
          <t>85501</t>
        </is>
      </c>
      <c r="B186" s="51" t="inlineStr">
        <is>
          <t>Gila</t>
        </is>
      </c>
      <c r="C186" s="53" t="n">
        <v>12473</v>
      </c>
      <c r="D186" s="73" t="n">
        <v>0.998156016996713</v>
      </c>
      <c r="E186" s="70" t="n">
        <v>78.7270441767068</v>
      </c>
      <c r="F186" s="70" t="n">
        <v>70.2213451334412</v>
      </c>
      <c r="G186" s="51" t="n">
        <v>7</v>
      </c>
      <c r="H186" s="73" t="n">
        <v>1</v>
      </c>
      <c r="I186" s="51" t="inlineStr">
        <is>
          <t>LD7 (100%)</t>
        </is>
      </c>
    </row>
    <row r="187" ht="15" customHeight="1" s="44">
      <c r="A187" s="51" t="inlineStr">
        <is>
          <t>85530</t>
        </is>
      </c>
      <c r="B187" s="51" t="inlineStr">
        <is>
          <t>Graham</t>
        </is>
      </c>
      <c r="C187" s="53" t="n">
        <v>2104</v>
      </c>
      <c r="D187" s="73" t="n">
        <v>1</v>
      </c>
      <c r="E187" s="70" t="n">
        <v>75.5</v>
      </c>
      <c r="F187" s="70" t="n">
        <v>70.73042744936021</v>
      </c>
      <c r="G187" s="51" t="n">
        <v>6</v>
      </c>
      <c r="H187" s="73" t="n">
        <v>1</v>
      </c>
      <c r="I187" s="51" t="inlineStr">
        <is>
          <t>LD6 (100%)</t>
        </is>
      </c>
    </row>
    <row r="188" ht="15" customHeight="1" s="44">
      <c r="A188" s="51" t="inlineStr">
        <is>
          <t>85531</t>
        </is>
      </c>
      <c r="B188" s="51" t="inlineStr">
        <is>
          <t>Graham</t>
        </is>
      </c>
      <c r="C188" s="53" t="n">
        <v>761</v>
      </c>
      <c r="D188" s="73" t="n">
        <v>1</v>
      </c>
      <c r="E188" s="70" t="n">
        <v>79.1302233902759</v>
      </c>
      <c r="F188" s="70" t="n">
        <v>74.36065083963609</v>
      </c>
      <c r="G188" s="51" t="n">
        <v>19</v>
      </c>
      <c r="H188" s="73" t="n">
        <v>1</v>
      </c>
      <c r="I188" s="51" t="inlineStr">
        <is>
          <t>LD19 (100%)</t>
        </is>
      </c>
    </row>
    <row r="189" ht="15" customHeight="1" s="44">
      <c r="A189" s="51" t="inlineStr">
        <is>
          <t>85532</t>
        </is>
      </c>
      <c r="B189" s="51" t="inlineStr">
        <is>
          <t>Gila</t>
        </is>
      </c>
      <c r="C189" s="53" t="n">
        <v>412</v>
      </c>
      <c r="D189" s="73" t="n">
        <v>1</v>
      </c>
      <c r="E189" s="70" t="n">
        <v>84.7</v>
      </c>
      <c r="F189" s="70" t="n">
        <v>76.19430095673439</v>
      </c>
      <c r="G189" s="51" t="n">
        <v>7</v>
      </c>
      <c r="H189" s="73" t="n">
        <v>1</v>
      </c>
      <c r="I189" s="51" t="inlineStr">
        <is>
          <t>LD7 (100%)</t>
        </is>
      </c>
    </row>
    <row r="190" ht="15" customHeight="1" s="44">
      <c r="A190" s="51" t="inlineStr">
        <is>
          <t>85533</t>
        </is>
      </c>
      <c r="B190" s="51" t="inlineStr">
        <is>
          <t>Greenlee</t>
        </is>
      </c>
      <c r="C190" s="53" t="n">
        <v>2949</v>
      </c>
      <c r="D190" s="73" t="n">
        <v>0.980332316039335</v>
      </c>
      <c r="E190" s="70" t="n">
        <v>85.7800069180214</v>
      </c>
      <c r="F190" s="70" t="n">
        <v>77.9462514459515</v>
      </c>
      <c r="G190" s="51" t="n">
        <v>19</v>
      </c>
      <c r="H190" s="73" t="n">
        <v>0.999321804001356</v>
      </c>
      <c r="I190" s="51" t="inlineStr">
        <is>
          <t>LD19 (100%)</t>
        </is>
      </c>
    </row>
    <row r="191" ht="15" customHeight="1" s="44">
      <c r="A191" s="51" t="inlineStr">
        <is>
          <t>85534</t>
        </is>
      </c>
      <c r="B191" s="51" t="inlineStr">
        <is>
          <t>Greenlee</t>
        </is>
      </c>
      <c r="C191" s="53" t="n">
        <v>2522</v>
      </c>
      <c r="D191" s="73" t="n">
        <v>1</v>
      </c>
      <c r="E191" s="70" t="n">
        <v>79.59999999999999</v>
      </c>
      <c r="F191" s="70" t="n">
        <v>71.76412325211039</v>
      </c>
      <c r="G191" s="51" t="n">
        <v>19</v>
      </c>
      <c r="H191" s="73" t="n">
        <v>1</v>
      </c>
      <c r="I191" s="51" t="inlineStr">
        <is>
          <t>LD19 (100%)</t>
        </is>
      </c>
    </row>
    <row r="192" ht="15" customHeight="1" s="44">
      <c r="A192" s="51" t="inlineStr">
        <is>
          <t>85535</t>
        </is>
      </c>
      <c r="B192" s="51" t="inlineStr">
        <is>
          <t>Graham</t>
        </is>
      </c>
      <c r="C192" s="53" t="n">
        <v>28</v>
      </c>
      <c r="D192" s="73" t="n">
        <v>1</v>
      </c>
      <c r="E192" s="70" t="n">
        <v>78.90000000000001</v>
      </c>
      <c r="F192" s="70" t="n">
        <v>74.1304274493602</v>
      </c>
      <c r="G192" s="51" t="n">
        <v>19</v>
      </c>
      <c r="H192" s="73" t="n">
        <v>1</v>
      </c>
      <c r="I192" s="51" t="inlineStr">
        <is>
          <t>LD19 (100%)</t>
        </is>
      </c>
    </row>
    <row r="193" ht="15" customHeight="1" s="44">
      <c r="A193" s="51" t="inlineStr">
        <is>
          <t>85536</t>
        </is>
      </c>
      <c r="B193" s="51" t="inlineStr">
        <is>
          <t>Graham</t>
        </is>
      </c>
      <c r="C193" s="53" t="n">
        <v>369</v>
      </c>
      <c r="D193" s="73" t="n">
        <v>1</v>
      </c>
      <c r="E193" s="70" t="n">
        <v>78.90000000000001</v>
      </c>
      <c r="F193" s="70" t="n">
        <v>74.1304274493602</v>
      </c>
      <c r="G193" s="51" t="n">
        <v>19</v>
      </c>
      <c r="H193" s="73" t="n">
        <v>1</v>
      </c>
      <c r="I193" s="51" t="inlineStr">
        <is>
          <t>LD19 (100%)</t>
        </is>
      </c>
    </row>
    <row r="194" ht="15" customHeight="1" s="44">
      <c r="A194" s="51" t="inlineStr">
        <is>
          <t>85539</t>
        </is>
      </c>
      <c r="B194" s="51" t="inlineStr">
        <is>
          <t>Gila</t>
        </is>
      </c>
      <c r="C194" s="53" t="n">
        <v>3618</v>
      </c>
      <c r="D194" s="73" t="n">
        <v>0.968767274737424</v>
      </c>
      <c r="E194" s="70" t="n">
        <v>82.9901569186876</v>
      </c>
      <c r="F194" s="70" t="n">
        <v>74.6664309753715</v>
      </c>
      <c r="G194" s="51" t="n">
        <v>7</v>
      </c>
      <c r="H194" s="73" t="n">
        <v>1</v>
      </c>
      <c r="I194" s="51" t="inlineStr">
        <is>
          <t>LD7 (100%)</t>
        </is>
      </c>
    </row>
    <row r="195" ht="15" customHeight="1" s="44">
      <c r="A195" s="51" t="inlineStr">
        <is>
          <t>85540</t>
        </is>
      </c>
      <c r="B195" s="51" t="inlineStr">
        <is>
          <t>Greenlee</t>
        </is>
      </c>
      <c r="C195" s="53" t="n">
        <v>4026</v>
      </c>
      <c r="D195" s="73" t="n">
        <v>0</v>
      </c>
      <c r="E195" s="70" t="n"/>
      <c r="F195" s="70" t="n"/>
      <c r="G195" s="51" t="n">
        <v>19</v>
      </c>
      <c r="H195" s="73" t="n">
        <v>1</v>
      </c>
      <c r="I195" s="51" t="inlineStr">
        <is>
          <t>LD19 (100%)</t>
        </is>
      </c>
    </row>
    <row r="196" ht="15" customHeight="1" s="44">
      <c r="A196" s="51" t="inlineStr">
        <is>
          <t>85541</t>
        </is>
      </c>
      <c r="B196" s="51" t="inlineStr">
        <is>
          <t>Gila</t>
        </is>
      </c>
      <c r="C196" s="53" t="n">
        <v>22974</v>
      </c>
      <c r="D196" s="73" t="n">
        <v>0.994123792112823</v>
      </c>
      <c r="E196" s="70" t="n">
        <v>76.6487937300232</v>
      </c>
      <c r="F196" s="70" t="n">
        <v>68.14309468675761</v>
      </c>
      <c r="G196" s="51" t="n">
        <v>7</v>
      </c>
      <c r="H196" s="73" t="n">
        <v>1</v>
      </c>
      <c r="I196" s="51" t="inlineStr">
        <is>
          <t>LD7 (100%)</t>
        </is>
      </c>
    </row>
    <row r="197" ht="15" customHeight="1" s="44">
      <c r="A197" s="51" t="inlineStr">
        <is>
          <t>85542</t>
        </is>
      </c>
      <c r="B197" s="51" t="inlineStr">
        <is>
          <t>Graham</t>
        </is>
      </c>
      <c r="C197" s="53" t="n">
        <v>3172</v>
      </c>
      <c r="D197" s="73" t="n">
        <v>0.815889029003783</v>
      </c>
      <c r="E197" s="70" t="n">
        <v>75.5</v>
      </c>
      <c r="F197" s="70" t="n">
        <v>70.73042744936021</v>
      </c>
      <c r="G197" s="51" t="n">
        <v>6</v>
      </c>
      <c r="H197" s="73" t="n">
        <v>1</v>
      </c>
      <c r="I197" s="51" t="inlineStr">
        <is>
          <t>LD6 (100%)</t>
        </is>
      </c>
    </row>
    <row r="198" ht="15" customHeight="1" s="44">
      <c r="A198" s="51" t="inlineStr">
        <is>
          <t>85543</t>
        </is>
      </c>
      <c r="B198" s="51" t="inlineStr">
        <is>
          <t>Graham</t>
        </is>
      </c>
      <c r="C198" s="53" t="n">
        <v>4283</v>
      </c>
      <c r="D198" s="73" t="n">
        <v>1</v>
      </c>
      <c r="E198" s="70" t="n">
        <v>78.8997898669157</v>
      </c>
      <c r="F198" s="70" t="n">
        <v>74.1302173162759</v>
      </c>
      <c r="G198" s="51" t="n">
        <v>19</v>
      </c>
      <c r="H198" s="73" t="n">
        <v>1</v>
      </c>
      <c r="I198" s="51" t="inlineStr">
        <is>
          <t>LD19 (100%)</t>
        </is>
      </c>
    </row>
    <row r="199" ht="15" customHeight="1" s="44">
      <c r="A199" s="51" t="inlineStr">
        <is>
          <t>85544</t>
        </is>
      </c>
      <c r="B199" s="51" t="inlineStr">
        <is>
          <t>Gila</t>
        </is>
      </c>
      <c r="C199" s="53" t="n">
        <v>2905</v>
      </c>
      <c r="D199" s="73" t="n">
        <v>1</v>
      </c>
      <c r="E199" s="70" t="n">
        <v>79.5</v>
      </c>
      <c r="F199" s="70" t="n">
        <v>70.99430095673431</v>
      </c>
      <c r="G199" s="51" t="n">
        <v>7</v>
      </c>
      <c r="H199" s="73" t="n">
        <v>1</v>
      </c>
      <c r="I199" s="51" t="inlineStr">
        <is>
          <t>LD7 (100%)</t>
        </is>
      </c>
    </row>
    <row r="200" ht="15" customHeight="1" s="44">
      <c r="A200" s="51" t="inlineStr">
        <is>
          <t>85545</t>
        </is>
      </c>
      <c r="B200" s="51" t="inlineStr">
        <is>
          <t>Gila</t>
        </is>
      </c>
      <c r="C200" s="53" t="n">
        <v>523</v>
      </c>
      <c r="D200" s="73" t="n">
        <v>0.988527724665392</v>
      </c>
      <c r="E200" s="70" t="n">
        <v>81.783752417795</v>
      </c>
      <c r="F200" s="70" t="n">
        <v>73.3756650396374</v>
      </c>
      <c r="G200" s="51" t="n">
        <v>7</v>
      </c>
      <c r="H200" s="73" t="n">
        <v>0.986615678776291</v>
      </c>
      <c r="I200" s="51" t="inlineStr">
        <is>
          <t>LD7 (99%)</t>
        </is>
      </c>
    </row>
    <row r="201" ht="15" customHeight="1" s="44">
      <c r="A201" s="51" t="inlineStr">
        <is>
          <t>85546</t>
        </is>
      </c>
      <c r="B201" s="51" t="inlineStr">
        <is>
          <t>Graham</t>
        </is>
      </c>
      <c r="C201" s="53" t="n">
        <v>20100</v>
      </c>
      <c r="D201" s="73" t="n">
        <v>1</v>
      </c>
      <c r="E201" s="70" t="n">
        <v>78.3962935323383</v>
      </c>
      <c r="F201" s="70" t="n">
        <v>73.6267209816985</v>
      </c>
      <c r="G201" s="51" t="n">
        <v>19</v>
      </c>
      <c r="H201" s="73" t="n">
        <v>1</v>
      </c>
      <c r="I201" s="51" t="inlineStr">
        <is>
          <t>LD19 (100%)</t>
        </is>
      </c>
    </row>
    <row r="202" ht="15" customHeight="1" s="44">
      <c r="A202" s="51" t="inlineStr">
        <is>
          <t>85550</t>
        </is>
      </c>
      <c r="B202" s="51" t="inlineStr">
        <is>
          <t>Gila</t>
        </is>
      </c>
      <c r="C202" s="53" t="n">
        <v>4934</v>
      </c>
      <c r="D202" s="73" t="n">
        <v>0</v>
      </c>
      <c r="E202" s="70" t="n"/>
      <c r="F202" s="70" t="n"/>
      <c r="G202" s="51" t="n">
        <v>6</v>
      </c>
      <c r="H202" s="73" t="n">
        <v>1</v>
      </c>
      <c r="I202" s="51" t="inlineStr">
        <is>
          <t>LD6 (100%)</t>
        </is>
      </c>
    </row>
    <row r="203" ht="15" customHeight="1" s="44">
      <c r="A203" s="51" t="inlineStr">
        <is>
          <t>85551</t>
        </is>
      </c>
      <c r="B203" s="51" t="inlineStr">
        <is>
          <t>Graham</t>
        </is>
      </c>
      <c r="C203" s="53" t="n">
        <v>396</v>
      </c>
      <c r="D203" s="73" t="n">
        <v>1</v>
      </c>
      <c r="E203" s="70" t="n">
        <v>80</v>
      </c>
      <c r="F203" s="70" t="n">
        <v>75.23042744936021</v>
      </c>
      <c r="G203" s="51" t="n">
        <v>19</v>
      </c>
      <c r="H203" s="73" t="n">
        <v>1</v>
      </c>
      <c r="I203" s="51" t="inlineStr">
        <is>
          <t>LD19 (100%)</t>
        </is>
      </c>
    </row>
    <row r="204" ht="15" customHeight="1" s="44">
      <c r="A204" s="51" t="inlineStr">
        <is>
          <t>85552</t>
        </is>
      </c>
      <c r="B204" s="51" t="inlineStr">
        <is>
          <t>Graham</t>
        </is>
      </c>
      <c r="C204" s="53" t="n">
        <v>6887</v>
      </c>
      <c r="D204" s="73" t="n">
        <v>1</v>
      </c>
      <c r="E204" s="70" t="n">
        <v>79.36955132859011</v>
      </c>
      <c r="F204" s="70" t="n">
        <v>74.5999787779503</v>
      </c>
      <c r="G204" s="51" t="n">
        <v>19</v>
      </c>
      <c r="H204" s="73" t="n">
        <v>1</v>
      </c>
      <c r="I204" s="51" t="inlineStr">
        <is>
          <t>LD19 (100%)</t>
        </is>
      </c>
    </row>
    <row r="205" ht="15" customHeight="1" s="44">
      <c r="A205" s="51" t="inlineStr">
        <is>
          <t>85553</t>
        </is>
      </c>
      <c r="B205" s="51" t="inlineStr">
        <is>
          <t>Gila</t>
        </is>
      </c>
      <c r="C205" s="53" t="n">
        <v>1491</v>
      </c>
      <c r="D205" s="73" t="n">
        <v>0</v>
      </c>
      <c r="E205" s="70" t="n"/>
      <c r="F205" s="70" t="n"/>
      <c r="G205" s="51" t="n">
        <v>7</v>
      </c>
      <c r="H205" s="73" t="n">
        <v>1</v>
      </c>
      <c r="I205" s="51" t="inlineStr">
        <is>
          <t>LD7 (100%)</t>
        </is>
      </c>
    </row>
    <row r="206" ht="15" customHeight="1" s="44">
      <c r="A206" s="51" t="inlineStr">
        <is>
          <t>85554</t>
        </is>
      </c>
      <c r="B206" s="51" t="inlineStr">
        <is>
          <t>Gila</t>
        </is>
      </c>
      <c r="C206" s="53" t="n">
        <v>735</v>
      </c>
      <c r="D206" s="73" t="n">
        <v>0.9455782312925169</v>
      </c>
      <c r="E206" s="70" t="n">
        <v>78.2</v>
      </c>
      <c r="F206" s="70" t="n">
        <v>69.69430095673439</v>
      </c>
      <c r="G206" s="51" t="n">
        <v>7</v>
      </c>
      <c r="H206" s="73" t="n">
        <v>1</v>
      </c>
      <c r="I206" s="51" t="inlineStr">
        <is>
          <t>LD7 (100%)</t>
        </is>
      </c>
    </row>
    <row r="207" ht="15" customHeight="1" s="44">
      <c r="A207" s="51" t="inlineStr">
        <is>
          <t>85601</t>
        </is>
      </c>
      <c r="B207" s="51" t="inlineStr">
        <is>
          <t>Pima</t>
        </is>
      </c>
      <c r="C207" s="53" t="n">
        <v>644</v>
      </c>
      <c r="D207" s="73" t="n">
        <v>1</v>
      </c>
      <c r="E207" s="70" t="n">
        <v>81</v>
      </c>
      <c r="F207" s="70" t="n">
        <v>78.9159294841478</v>
      </c>
      <c r="G207" s="51" t="n">
        <v>21</v>
      </c>
      <c r="H207" s="73" t="n">
        <v>1</v>
      </c>
      <c r="I207" s="51" t="inlineStr">
        <is>
          <t>LD21 (100%)</t>
        </is>
      </c>
    </row>
    <row r="208" ht="15" customHeight="1" s="44">
      <c r="A208" s="51" t="inlineStr">
        <is>
          <t>85602</t>
        </is>
      </c>
      <c r="B208" s="51" t="inlineStr">
        <is>
          <t>Cochise</t>
        </is>
      </c>
      <c r="C208" s="53" t="n">
        <v>10198</v>
      </c>
      <c r="D208" s="73" t="n">
        <v>1</v>
      </c>
      <c r="E208" s="70" t="n">
        <v>78.86162973131989</v>
      </c>
      <c r="F208" s="70" t="n">
        <v>76.4281360847061</v>
      </c>
      <c r="G208" s="51" t="n">
        <v>19</v>
      </c>
      <c r="H208" s="73" t="n">
        <v>0.956854285153952</v>
      </c>
      <c r="I208" s="51" t="inlineStr">
        <is>
          <t>LD19 (96%); LD17 (4%)</t>
        </is>
      </c>
    </row>
    <row r="209" ht="15" customHeight="1" s="44">
      <c r="A209" s="51" t="inlineStr">
        <is>
          <t>85603</t>
        </is>
      </c>
      <c r="B209" s="51" t="inlineStr">
        <is>
          <t>Cochise</t>
        </is>
      </c>
      <c r="C209" s="53" t="n">
        <v>6342</v>
      </c>
      <c r="D209" s="73" t="n">
        <v>0.781141595711132</v>
      </c>
      <c r="E209" s="70" t="n">
        <v>77.9958215583367</v>
      </c>
      <c r="F209" s="70" t="n">
        <v>75.5270989389109</v>
      </c>
      <c r="G209" s="51" t="n">
        <v>21</v>
      </c>
      <c r="H209" s="73" t="n">
        <v>0.97839798170924</v>
      </c>
      <c r="I209" s="51" t="inlineStr">
        <is>
          <t>LD21 (98%); LD19 (2%)</t>
        </is>
      </c>
    </row>
    <row r="210" ht="15" customHeight="1" s="44">
      <c r="A210" s="51" t="inlineStr">
        <is>
          <t>85605</t>
        </is>
      </c>
      <c r="B210" s="51" t="inlineStr">
        <is>
          <t>Cochise</t>
        </is>
      </c>
      <c r="C210" s="53" t="n">
        <v>629</v>
      </c>
      <c r="D210" s="73" t="n">
        <v>1</v>
      </c>
      <c r="E210" s="70" t="n">
        <v>89</v>
      </c>
      <c r="F210" s="70" t="n">
        <v>86.5312773805742</v>
      </c>
      <c r="G210" s="51" t="n">
        <v>19</v>
      </c>
      <c r="H210" s="73" t="n">
        <v>1</v>
      </c>
      <c r="I210" s="51" t="inlineStr">
        <is>
          <t>LD19 (100%)</t>
        </is>
      </c>
    </row>
    <row r="211" ht="15" customHeight="1" s="44">
      <c r="A211" s="51" t="inlineStr">
        <is>
          <t>85606</t>
        </is>
      </c>
      <c r="B211" s="51" t="inlineStr">
        <is>
          <t>Cochise</t>
        </is>
      </c>
      <c r="C211" s="53" t="n">
        <v>977</v>
      </c>
      <c r="D211" s="73" t="n">
        <v>1</v>
      </c>
      <c r="E211" s="70" t="n">
        <v>76.0015353121802</v>
      </c>
      <c r="F211" s="70" t="n">
        <v>73.53281269275431</v>
      </c>
      <c r="G211" s="51" t="n">
        <v>19</v>
      </c>
      <c r="H211" s="73" t="n">
        <v>1</v>
      </c>
      <c r="I211" s="51" t="inlineStr">
        <is>
          <t>LD19 (100%)</t>
        </is>
      </c>
    </row>
    <row r="212" ht="15" customHeight="1" s="44">
      <c r="A212" s="51" t="inlineStr">
        <is>
          <t>85607</t>
        </is>
      </c>
      <c r="B212" s="51" t="inlineStr">
        <is>
          <t>Cochise</t>
        </is>
      </c>
      <c r="C212" s="53" t="n">
        <v>17738</v>
      </c>
      <c r="D212" s="73" t="n">
        <v>1</v>
      </c>
      <c r="E212" s="70" t="n">
        <v>73.8688747322133</v>
      </c>
      <c r="F212" s="70" t="n">
        <v>71.4001521127875</v>
      </c>
      <c r="G212" s="51" t="n">
        <v>19</v>
      </c>
      <c r="H212" s="73" t="n">
        <v>1</v>
      </c>
      <c r="I212" s="51" t="inlineStr">
        <is>
          <t>LD19 (100%)</t>
        </is>
      </c>
    </row>
    <row r="213" ht="15" customHeight="1" s="44">
      <c r="A213" s="51" t="inlineStr">
        <is>
          <t>85608</t>
        </is>
      </c>
      <c r="B213" s="51" t="inlineStr">
        <is>
          <t>Cochise</t>
        </is>
      </c>
      <c r="C213" s="53" t="n">
        <v>1983</v>
      </c>
      <c r="D213" s="73" t="n">
        <v>1</v>
      </c>
      <c r="E213" s="70" t="n">
        <v>84.5</v>
      </c>
      <c r="F213" s="70" t="n">
        <v>82.0312773805742</v>
      </c>
      <c r="G213" s="51" t="n">
        <v>19</v>
      </c>
      <c r="H213" s="73" t="n">
        <v>1</v>
      </c>
      <c r="I213" s="51" t="inlineStr">
        <is>
          <t>LD19 (100%)</t>
        </is>
      </c>
    </row>
    <row r="214" ht="15" customHeight="1" s="44">
      <c r="A214" s="51" t="inlineStr">
        <is>
          <t>85609</t>
        </is>
      </c>
      <c r="B214" s="51" t="inlineStr">
        <is>
          <t>Cochise</t>
        </is>
      </c>
      <c r="C214" s="53" t="n">
        <v>325</v>
      </c>
      <c r="D214" s="73" t="n">
        <v>1</v>
      </c>
      <c r="E214" s="70" t="n">
        <v>84.5252307692308</v>
      </c>
      <c r="F214" s="70" t="n">
        <v>82.056508149805</v>
      </c>
      <c r="G214" s="51" t="n">
        <v>19</v>
      </c>
      <c r="H214" s="73" t="n">
        <v>1</v>
      </c>
      <c r="I214" s="51" t="inlineStr">
        <is>
          <t>LD19 (100%)</t>
        </is>
      </c>
    </row>
    <row r="215" ht="15" customHeight="1" s="44">
      <c r="A215" s="51" t="inlineStr">
        <is>
          <t>85610</t>
        </is>
      </c>
      <c r="B215" s="51" t="inlineStr">
        <is>
          <t>Cochise</t>
        </is>
      </c>
      <c r="C215" s="53" t="n">
        <v>1053</v>
      </c>
      <c r="D215" s="73" t="n">
        <v>1</v>
      </c>
      <c r="E215" s="70" t="n">
        <v>84.19743589743589</v>
      </c>
      <c r="F215" s="70" t="n">
        <v>81.7287132780101</v>
      </c>
      <c r="G215" s="51" t="n">
        <v>19</v>
      </c>
      <c r="H215" s="73" t="n">
        <v>1</v>
      </c>
      <c r="I215" s="51" t="inlineStr">
        <is>
          <t>LD19 (100%)</t>
        </is>
      </c>
    </row>
    <row r="216" ht="15" customHeight="1" s="44">
      <c r="A216" s="51" t="inlineStr">
        <is>
          <t>85611</t>
        </is>
      </c>
      <c r="B216" s="51" t="inlineStr">
        <is>
          <t>Santa Cruz</t>
        </is>
      </c>
      <c r="C216" s="53" t="n">
        <v>1017</v>
      </c>
      <c r="D216" s="73" t="n">
        <v>0.236971484759095</v>
      </c>
      <c r="E216" s="70" t="n">
        <v>83.90871369294609</v>
      </c>
      <c r="F216" s="70" t="n">
        <v>81.6794010964914</v>
      </c>
      <c r="G216" s="51" t="n">
        <v>19</v>
      </c>
      <c r="H216" s="73" t="n">
        <v>0.982300884955752</v>
      </c>
      <c r="I216" s="51" t="inlineStr">
        <is>
          <t>LD19 (98%)</t>
        </is>
      </c>
    </row>
    <row r="217" ht="15" customHeight="1" s="44">
      <c r="A217" s="51" t="inlineStr">
        <is>
          <t>85613</t>
        </is>
      </c>
      <c r="B217" s="51" t="inlineStr">
        <is>
          <t>Cochise</t>
        </is>
      </c>
      <c r="C217" s="53" t="n">
        <v>5239</v>
      </c>
      <c r="D217" s="73" t="n">
        <v>0</v>
      </c>
      <c r="E217" s="70" t="n"/>
      <c r="F217" s="70" t="n"/>
      <c r="G217" s="51" t="n">
        <v>19</v>
      </c>
      <c r="H217" s="73" t="n">
        <v>1</v>
      </c>
      <c r="I217" s="51" t="inlineStr">
        <is>
          <t>LD19 (100%)</t>
        </is>
      </c>
    </row>
    <row r="218" ht="15" customHeight="1" s="44">
      <c r="A218" s="51" t="inlineStr">
        <is>
          <t>85614</t>
        </is>
      </c>
      <c r="B218" s="51" t="inlineStr">
        <is>
          <t>Pima</t>
        </is>
      </c>
      <c r="C218" s="53" t="n">
        <v>25789</v>
      </c>
      <c r="D218" s="73" t="n">
        <v>0.685020745278995</v>
      </c>
      <c r="E218" s="70" t="n">
        <v>80.92280086040979</v>
      </c>
      <c r="F218" s="70" t="n">
        <v>78.8387303445576</v>
      </c>
      <c r="G218" s="51" t="n">
        <v>19</v>
      </c>
      <c r="H218" s="73" t="n">
        <v>0.835472488270193</v>
      </c>
      <c r="I218" s="51" t="inlineStr">
        <is>
          <t>LD19 (84%); LD21 (16%)</t>
        </is>
      </c>
    </row>
    <row r="219" ht="15" customHeight="1" s="44">
      <c r="A219" s="51" t="inlineStr">
        <is>
          <t>85615</t>
        </is>
      </c>
      <c r="B219" s="51" t="inlineStr">
        <is>
          <t>Cochise</t>
        </is>
      </c>
      <c r="C219" s="53" t="n">
        <v>9073</v>
      </c>
      <c r="D219" s="73" t="n">
        <v>1</v>
      </c>
      <c r="E219" s="70" t="n">
        <v>81.884283037584</v>
      </c>
      <c r="F219" s="70" t="n">
        <v>79.41556041815819</v>
      </c>
      <c r="G219" s="51" t="n">
        <v>19</v>
      </c>
      <c r="H219" s="73" t="n">
        <v>0.783092692604431</v>
      </c>
      <c r="I219" s="51" t="inlineStr">
        <is>
          <t>LD19 (78%); LD21 (22%)</t>
        </is>
      </c>
    </row>
    <row r="220" ht="15" customHeight="1" s="44">
      <c r="A220" s="51" t="inlineStr">
        <is>
          <t>85616</t>
        </is>
      </c>
      <c r="B220" s="51" t="inlineStr">
        <is>
          <t>Cochise</t>
        </is>
      </c>
      <c r="C220" s="53" t="n">
        <v>5110</v>
      </c>
      <c r="D220" s="73" t="n">
        <v>1</v>
      </c>
      <c r="E220" s="70" t="n">
        <v>76</v>
      </c>
      <c r="F220" s="70" t="n">
        <v>73.5312773805742</v>
      </c>
      <c r="G220" s="51" t="n">
        <v>19</v>
      </c>
      <c r="H220" s="73" t="n">
        <v>1</v>
      </c>
      <c r="I220" s="51" t="inlineStr">
        <is>
          <t>LD19 (100%)</t>
        </is>
      </c>
    </row>
    <row r="221" ht="15" customHeight="1" s="44">
      <c r="A221" s="51" t="inlineStr">
        <is>
          <t>85617</t>
        </is>
      </c>
      <c r="B221" s="51" t="inlineStr">
        <is>
          <t>Cochise</t>
        </is>
      </c>
      <c r="C221" s="53" t="n">
        <v>1086</v>
      </c>
      <c r="D221" s="73" t="n">
        <v>0.989871086556169</v>
      </c>
      <c r="E221" s="70" t="n">
        <v>84.5</v>
      </c>
      <c r="F221" s="70" t="n">
        <v>82.0312773805742</v>
      </c>
      <c r="G221" s="51" t="n">
        <v>19</v>
      </c>
      <c r="H221" s="73" t="n">
        <v>0.994475138121547</v>
      </c>
      <c r="I221" s="51" t="inlineStr">
        <is>
          <t>LD19 (99%)</t>
        </is>
      </c>
    </row>
    <row r="222" ht="15" customHeight="1" s="44">
      <c r="A222" s="51" t="inlineStr">
        <is>
          <t>85618</t>
        </is>
      </c>
      <c r="B222" s="51" t="inlineStr">
        <is>
          <t>Pinal</t>
        </is>
      </c>
      <c r="C222" s="53" t="n">
        <v>1271</v>
      </c>
      <c r="D222" s="73" t="n">
        <v>1</v>
      </c>
      <c r="E222" s="70" t="n">
        <v>78.3381589299764</v>
      </c>
      <c r="F222" s="70" t="n">
        <v>77.08036574265731</v>
      </c>
      <c r="G222" s="51" t="n">
        <v>7</v>
      </c>
      <c r="H222" s="73" t="n">
        <v>1</v>
      </c>
      <c r="I222" s="51" t="inlineStr">
        <is>
          <t>LD7 (100%)</t>
        </is>
      </c>
    </row>
    <row r="223" ht="15" customHeight="1" s="44">
      <c r="A223" s="51" t="inlineStr">
        <is>
          <t>85619</t>
        </is>
      </c>
      <c r="B223" s="51" t="inlineStr">
        <is>
          <t>Pima</t>
        </is>
      </c>
      <c r="C223" s="53" t="n">
        <v>113</v>
      </c>
      <c r="D223" s="73" t="n">
        <v>1</v>
      </c>
      <c r="E223" s="70" t="n">
        <v>82.0796460176991</v>
      </c>
      <c r="F223" s="70" t="n">
        <v>79.9955755018469</v>
      </c>
      <c r="G223" s="51" t="n">
        <v>17</v>
      </c>
      <c r="H223" s="73" t="n">
        <v>1</v>
      </c>
      <c r="I223" s="51" t="inlineStr">
        <is>
          <t>LD17 (100%)</t>
        </is>
      </c>
    </row>
    <row r="224" ht="15" customHeight="1" s="44">
      <c r="A224" s="51" t="inlineStr">
        <is>
          <t>85620</t>
        </is>
      </c>
      <c r="B224" s="51" t="inlineStr">
        <is>
          <t>Cochise</t>
        </is>
      </c>
      <c r="C224" s="53" t="n">
        <v>734</v>
      </c>
      <c r="D224" s="73" t="n">
        <v>1</v>
      </c>
      <c r="E224" s="70" t="n">
        <v>75.90000000000001</v>
      </c>
      <c r="F224" s="70" t="n">
        <v>73.4312773805742</v>
      </c>
      <c r="G224" s="51" t="n">
        <v>21</v>
      </c>
      <c r="H224" s="73" t="n">
        <v>1</v>
      </c>
      <c r="I224" s="51" t="inlineStr">
        <is>
          <t>LD21 (100%)</t>
        </is>
      </c>
    </row>
    <row r="225" ht="15" customHeight="1" s="44">
      <c r="A225" s="51" t="inlineStr">
        <is>
          <t>85621</t>
        </is>
      </c>
      <c r="B225" s="51" t="inlineStr">
        <is>
          <t>Santa Cruz</t>
        </is>
      </c>
      <c r="C225" s="53" t="n">
        <v>21730</v>
      </c>
      <c r="D225" s="73" t="n">
        <v>1</v>
      </c>
      <c r="E225" s="70" t="n">
        <v>81.23728485964099</v>
      </c>
      <c r="F225" s="70" t="n">
        <v>79.43476657687231</v>
      </c>
      <c r="G225" s="51" t="n">
        <v>21</v>
      </c>
      <c r="H225" s="73" t="n">
        <v>1</v>
      </c>
      <c r="I225" s="51" t="inlineStr">
        <is>
          <t>LD21 (100%)</t>
        </is>
      </c>
    </row>
    <row r="226" ht="15" customHeight="1" s="44">
      <c r="A226" s="51" t="inlineStr">
        <is>
          <t>85622</t>
        </is>
      </c>
      <c r="B226" s="51" t="inlineStr">
        <is>
          <t>Pima</t>
        </is>
      </c>
      <c r="C226" s="53" t="n">
        <v>6583</v>
      </c>
      <c r="D226" s="73" t="n">
        <v>0.296521342852803</v>
      </c>
      <c r="E226" s="70" t="n">
        <v>81.3922131147541</v>
      </c>
      <c r="F226" s="70" t="n">
        <v>79.3081425989019</v>
      </c>
      <c r="G226" s="51" t="n">
        <v>19</v>
      </c>
      <c r="H226" s="73" t="n">
        <v>0.945769406045876</v>
      </c>
      <c r="I226" s="51" t="inlineStr">
        <is>
          <t>LD19 (95%); LD21 (5%)</t>
        </is>
      </c>
    </row>
    <row r="227" ht="15" customHeight="1" s="44">
      <c r="A227" s="51" t="inlineStr">
        <is>
          <t>85623</t>
        </is>
      </c>
      <c r="B227" s="51" t="inlineStr">
        <is>
          <t>Pinal</t>
        </is>
      </c>
      <c r="C227" s="53" t="n">
        <v>4974</v>
      </c>
      <c r="D227" s="73" t="n">
        <v>1</v>
      </c>
      <c r="E227" s="70" t="n">
        <v>81.7977080820266</v>
      </c>
      <c r="F227" s="70" t="n">
        <v>80.53991489470749</v>
      </c>
      <c r="G227" s="51" t="n">
        <v>7</v>
      </c>
      <c r="H227" s="73" t="n">
        <v>0.645355850422196</v>
      </c>
      <c r="I227" s="51" t="inlineStr">
        <is>
          <t>LD7 (65%); LD17 (35%)</t>
        </is>
      </c>
    </row>
    <row r="228" ht="15" customHeight="1" s="44">
      <c r="A228" s="51" t="inlineStr">
        <is>
          <t>85624</t>
        </is>
      </c>
      <c r="B228" s="51" t="inlineStr">
        <is>
          <t>Santa Cruz</t>
        </is>
      </c>
      <c r="C228" s="53" t="n">
        <v>1222</v>
      </c>
      <c r="D228" s="73" t="n">
        <v>0.0310965630114566</v>
      </c>
      <c r="E228" s="70" t="n">
        <v>83.7</v>
      </c>
      <c r="F228" s="70" t="n">
        <v>81.8974817172312</v>
      </c>
      <c r="G228" s="51" t="n">
        <v>19</v>
      </c>
      <c r="H228" s="73" t="n">
        <v>0.922258592471358</v>
      </c>
      <c r="I228" s="51" t="inlineStr">
        <is>
          <t>LD19 (92%); LD21 (8%)</t>
        </is>
      </c>
    </row>
    <row r="229" ht="15" customHeight="1" s="44">
      <c r="A229" s="51" t="inlineStr">
        <is>
          <t>85625</t>
        </is>
      </c>
      <c r="B229" s="51" t="inlineStr">
        <is>
          <t>Cochise</t>
        </is>
      </c>
      <c r="C229" s="53" t="n">
        <v>1871</v>
      </c>
      <c r="D229" s="73" t="n">
        <v>1</v>
      </c>
      <c r="E229" s="70" t="n">
        <v>79.8922501336184</v>
      </c>
      <c r="F229" s="70" t="n">
        <v>77.4235275141926</v>
      </c>
      <c r="G229" s="51" t="n">
        <v>19</v>
      </c>
      <c r="H229" s="73" t="n">
        <v>1</v>
      </c>
      <c r="I229" s="51" t="inlineStr">
        <is>
          <t>LD19 (100%)</t>
        </is>
      </c>
    </row>
    <row r="230" ht="15" customHeight="1" s="44">
      <c r="A230" s="51" t="inlineStr">
        <is>
          <t>85626</t>
        </is>
      </c>
      <c r="B230" s="51" t="inlineStr">
        <is>
          <t>Cochise</t>
        </is>
      </c>
      <c r="C230" s="53" t="n">
        <v>1006</v>
      </c>
      <c r="D230" s="73" t="n">
        <v>1</v>
      </c>
      <c r="E230" s="70" t="n">
        <v>77.8</v>
      </c>
      <c r="F230" s="70" t="n">
        <v>75.33127738057421</v>
      </c>
      <c r="G230" s="51" t="n">
        <v>19</v>
      </c>
      <c r="H230" s="73" t="n">
        <v>1</v>
      </c>
      <c r="I230" s="51" t="inlineStr">
        <is>
          <t>LD19 (100%)</t>
        </is>
      </c>
    </row>
    <row r="231" ht="15" customHeight="1" s="44">
      <c r="A231" s="51" t="inlineStr">
        <is>
          <t>85627</t>
        </is>
      </c>
      <c r="B231" s="51" t="inlineStr">
        <is>
          <t>Cochise</t>
        </is>
      </c>
      <c r="C231" s="53" t="n">
        <v>472</v>
      </c>
      <c r="D231" s="73" t="n">
        <v>1</v>
      </c>
      <c r="E231" s="70" t="n">
        <v>79.90000000000001</v>
      </c>
      <c r="F231" s="70" t="n">
        <v>77.4312773805742</v>
      </c>
      <c r="G231" s="51" t="n">
        <v>19</v>
      </c>
      <c r="H231" s="73" t="n">
        <v>1</v>
      </c>
      <c r="I231" s="51" t="inlineStr">
        <is>
          <t>LD19 (100%)</t>
        </is>
      </c>
    </row>
    <row r="232" ht="15" customHeight="1" s="44">
      <c r="A232" s="51" t="inlineStr">
        <is>
          <t>85629</t>
        </is>
      </c>
      <c r="B232" s="51" t="inlineStr">
        <is>
          <t>Pima</t>
        </is>
      </c>
      <c r="C232" s="53" t="n">
        <v>29824</v>
      </c>
      <c r="D232" s="73" t="n">
        <v>1</v>
      </c>
      <c r="E232" s="70" t="n">
        <v>81.33895185085839</v>
      </c>
      <c r="F232" s="70" t="n">
        <v>79.2548813350061</v>
      </c>
      <c r="G232" s="51" t="n">
        <v>21</v>
      </c>
      <c r="H232" s="73" t="n">
        <v>0.791174892703863</v>
      </c>
      <c r="I232" s="51" t="inlineStr">
        <is>
          <t>LD21 (79%); LD19 (21%)</t>
        </is>
      </c>
    </row>
    <row r="233" ht="15" customHeight="1" s="44">
      <c r="A233" s="51" t="inlineStr">
        <is>
          <t>85630</t>
        </is>
      </c>
      <c r="B233" s="51" t="inlineStr">
        <is>
          <t>Cochise</t>
        </is>
      </c>
      <c r="C233" s="53" t="n">
        <v>2585</v>
      </c>
      <c r="D233" s="73" t="n">
        <v>1</v>
      </c>
      <c r="E233" s="70" t="n">
        <v>84.76034816247579</v>
      </c>
      <c r="F233" s="70" t="n">
        <v>82.29162554305</v>
      </c>
      <c r="G233" s="51" t="n">
        <v>19</v>
      </c>
      <c r="H233" s="73" t="n">
        <v>1</v>
      </c>
      <c r="I233" s="51" t="inlineStr">
        <is>
          <t>LD19 (100%)</t>
        </is>
      </c>
    </row>
    <row r="234" ht="15" customHeight="1" s="44">
      <c r="A234" s="51" t="inlineStr">
        <is>
          <t>85631</t>
        </is>
      </c>
      <c r="B234" s="51" t="inlineStr">
        <is>
          <t>Pinal</t>
        </is>
      </c>
      <c r="C234" s="53" t="n">
        <v>3179</v>
      </c>
      <c r="D234" s="73" t="n">
        <v>1</v>
      </c>
      <c r="E234" s="70" t="n">
        <v>80.0565586662473</v>
      </c>
      <c r="F234" s="70" t="n">
        <v>78.7987654789282</v>
      </c>
      <c r="G234" s="51" t="n">
        <v>7</v>
      </c>
      <c r="H234" s="73" t="n">
        <v>1</v>
      </c>
      <c r="I234" s="51" t="inlineStr">
        <is>
          <t>LD7 (100%)</t>
        </is>
      </c>
    </row>
    <row r="235" ht="15" customHeight="1" s="44">
      <c r="A235" s="51" t="inlineStr">
        <is>
          <t>85632</t>
        </is>
      </c>
      <c r="B235" s="51" t="inlineStr">
        <is>
          <t>Cochise</t>
        </is>
      </c>
      <c r="C235" s="53" t="n">
        <v>812</v>
      </c>
      <c r="D235" s="73" t="n">
        <v>1</v>
      </c>
      <c r="E235" s="70" t="n">
        <v>86.932881773399</v>
      </c>
      <c r="F235" s="70" t="n">
        <v>84.4641591539732</v>
      </c>
      <c r="G235" s="51" t="n">
        <v>19</v>
      </c>
      <c r="H235" s="73" t="n">
        <v>1</v>
      </c>
      <c r="I235" s="51" t="inlineStr">
        <is>
          <t>LD19 (100%)</t>
        </is>
      </c>
    </row>
    <row r="236" ht="15" customHeight="1" s="44">
      <c r="A236" s="51" t="inlineStr">
        <is>
          <t>85633</t>
        </is>
      </c>
      <c r="B236" s="51" t="inlineStr">
        <is>
          <t>Pima</t>
        </is>
      </c>
      <c r="C236" s="53" t="n">
        <v>51</v>
      </c>
      <c r="D236" s="73" t="n">
        <v>1</v>
      </c>
      <c r="E236" s="70" t="n">
        <v>81</v>
      </c>
      <c r="F236" s="70" t="n">
        <v>78.9159294841478</v>
      </c>
      <c r="G236" s="51" t="n">
        <v>21</v>
      </c>
      <c r="H236" s="73" t="n">
        <v>1</v>
      </c>
      <c r="I236" s="51" t="inlineStr">
        <is>
          <t>LD21 (100%)</t>
        </is>
      </c>
    </row>
    <row r="237" ht="15" customHeight="1" s="44">
      <c r="A237" s="51" t="inlineStr">
        <is>
          <t>85634</t>
        </is>
      </c>
      <c r="B237" s="51" t="inlineStr">
        <is>
          <t>Pima</t>
        </is>
      </c>
      <c r="C237" s="53" t="n">
        <v>5864</v>
      </c>
      <c r="D237" s="73" t="n">
        <v>1</v>
      </c>
      <c r="E237" s="70" t="n">
        <v>75.606002728513</v>
      </c>
      <c r="F237" s="70" t="n">
        <v>73.53207750045991</v>
      </c>
      <c r="G237" s="51" t="n">
        <v>23</v>
      </c>
      <c r="H237" s="73" t="n">
        <v>1</v>
      </c>
      <c r="I237" s="51" t="inlineStr">
        <is>
          <t>LD23 (100%)</t>
        </is>
      </c>
    </row>
    <row r="238" ht="15" customHeight="1" s="44">
      <c r="A238" s="51" t="inlineStr">
        <is>
          <t>85635</t>
        </is>
      </c>
      <c r="B238" s="51" t="inlineStr">
        <is>
          <t>Cochise</t>
        </is>
      </c>
      <c r="C238" s="53" t="n">
        <v>35095</v>
      </c>
      <c r="D238" s="73" t="n">
        <v>0.87152015956689</v>
      </c>
      <c r="E238" s="70" t="n">
        <v>78.31305826194991</v>
      </c>
      <c r="F238" s="70" t="n">
        <v>75.8443356425241</v>
      </c>
      <c r="G238" s="51" t="n">
        <v>19</v>
      </c>
      <c r="H238" s="73" t="n">
        <v>1</v>
      </c>
      <c r="I238" s="51" t="inlineStr">
        <is>
          <t>LD19 (100%)</t>
        </is>
      </c>
    </row>
    <row r="239" ht="15" customHeight="1" s="44">
      <c r="A239" s="51" t="inlineStr">
        <is>
          <t>85637</t>
        </is>
      </c>
      <c r="B239" s="51" t="inlineStr">
        <is>
          <t>Santa Cruz</t>
        </is>
      </c>
      <c r="C239" s="53" t="n">
        <v>1264</v>
      </c>
      <c r="D239" s="73" t="n">
        <v>0.212025316455696</v>
      </c>
      <c r="E239" s="70" t="n">
        <v>84.5279850746269</v>
      </c>
      <c r="F239" s="70" t="n">
        <v>82.44391455877459</v>
      </c>
      <c r="G239" s="51" t="n">
        <v>19</v>
      </c>
      <c r="H239" s="73" t="n">
        <v>1</v>
      </c>
      <c r="I239" s="51" t="inlineStr">
        <is>
          <t>LD19 (100%)</t>
        </is>
      </c>
    </row>
    <row r="240" ht="15" customHeight="1" s="44">
      <c r="A240" s="51" t="inlineStr">
        <is>
          <t>85638</t>
        </is>
      </c>
      <c r="B240" s="51" t="inlineStr">
        <is>
          <t>Cochise</t>
        </is>
      </c>
      <c r="C240" s="53" t="n">
        <v>1886</v>
      </c>
      <c r="D240" s="73" t="n">
        <v>0.969777306468717</v>
      </c>
      <c r="E240" s="70" t="n">
        <v>79.14609075997809</v>
      </c>
      <c r="F240" s="70" t="n">
        <v>76.6773681405523</v>
      </c>
      <c r="G240" s="51" t="n">
        <v>19</v>
      </c>
      <c r="H240" s="73" t="n">
        <v>0.98356309650053</v>
      </c>
      <c r="I240" s="51" t="inlineStr">
        <is>
          <t>LD19 (98%)</t>
        </is>
      </c>
    </row>
    <row r="241" ht="15" customHeight="1" s="44">
      <c r="A241" s="51" t="inlineStr">
        <is>
          <t>85639</t>
        </is>
      </c>
      <c r="B241" s="51" t="inlineStr">
        <is>
          <t>Pima</t>
        </is>
      </c>
      <c r="C241" s="53" t="n">
        <v>240</v>
      </c>
      <c r="D241" s="73" t="n">
        <v>1</v>
      </c>
      <c r="E241" s="70" t="n">
        <v>75.5</v>
      </c>
      <c r="F241" s="70" t="n">
        <v>73.4159294841478</v>
      </c>
      <c r="G241" s="51" t="n">
        <v>23</v>
      </c>
      <c r="H241" s="73" t="n">
        <v>1</v>
      </c>
      <c r="I241" s="51" t="inlineStr">
        <is>
          <t>LD23 (100%)</t>
        </is>
      </c>
    </row>
    <row r="242" ht="15" customHeight="1" s="44">
      <c r="A242" s="51" t="inlineStr">
        <is>
          <t>85640</t>
        </is>
      </c>
      <c r="B242" s="51" t="inlineStr">
        <is>
          <t>Santa Cruz</t>
        </is>
      </c>
      <c r="C242" s="53" t="n">
        <v>339</v>
      </c>
      <c r="D242" s="73" t="n">
        <v>1</v>
      </c>
      <c r="E242" s="70" t="n">
        <v>82.3</v>
      </c>
      <c r="F242" s="70" t="n">
        <v>80.4974817172312</v>
      </c>
      <c r="G242" s="51" t="n">
        <v>21</v>
      </c>
      <c r="H242" s="73" t="n">
        <v>1</v>
      </c>
      <c r="I242" s="51" t="inlineStr">
        <is>
          <t>LD21 (100%)</t>
        </is>
      </c>
    </row>
    <row r="243" ht="15" customHeight="1" s="44">
      <c r="A243" s="51" t="inlineStr">
        <is>
          <t>85641</t>
        </is>
      </c>
      <c r="B243" s="51" t="inlineStr">
        <is>
          <t>Pima</t>
        </is>
      </c>
      <c r="C243" s="53" t="n">
        <v>29538</v>
      </c>
      <c r="D243" s="73" t="n">
        <v>1</v>
      </c>
      <c r="E243" s="70" t="n">
        <v>82.4932019771142</v>
      </c>
      <c r="F243" s="70" t="n">
        <v>80.40913146126201</v>
      </c>
      <c r="G243" s="51" t="n">
        <v>19</v>
      </c>
      <c r="H243" s="73" t="n">
        <v>0.830184846638229</v>
      </c>
      <c r="I243" s="51" t="inlineStr">
        <is>
          <t>LD19 (83%); LD17 (17%)</t>
        </is>
      </c>
    </row>
    <row r="244" ht="15" customHeight="1" s="44">
      <c r="A244" s="51" t="inlineStr">
        <is>
          <t>85643</t>
        </is>
      </c>
      <c r="B244" s="51" t="inlineStr">
        <is>
          <t>Cochise</t>
        </is>
      </c>
      <c r="C244" s="53" t="n">
        <v>8208</v>
      </c>
      <c r="D244" s="73" t="n">
        <v>1</v>
      </c>
      <c r="E244" s="70" t="n">
        <v>77.2213572124757</v>
      </c>
      <c r="F244" s="70" t="n">
        <v>74.4754001166889</v>
      </c>
      <c r="G244" s="51" t="n">
        <v>19</v>
      </c>
      <c r="H244" s="73" t="n">
        <v>1</v>
      </c>
      <c r="I244" s="51" t="inlineStr">
        <is>
          <t>LD19 (100%)</t>
        </is>
      </c>
    </row>
    <row r="245" ht="15" customHeight="1" s="44">
      <c r="A245" s="51" t="inlineStr">
        <is>
          <t>85645</t>
        </is>
      </c>
      <c r="B245" s="51" t="inlineStr">
        <is>
          <t>Pima</t>
        </is>
      </c>
      <c r="C245" s="53" t="n">
        <v>1917</v>
      </c>
      <c r="D245" s="73" t="n">
        <v>0.997913406364111</v>
      </c>
      <c r="E245" s="70" t="n">
        <v>80.6401986408782</v>
      </c>
      <c r="F245" s="70" t="n">
        <v>78.589096081226</v>
      </c>
      <c r="G245" s="51" t="n">
        <v>21</v>
      </c>
      <c r="H245" s="73" t="n">
        <v>0.655190401669275</v>
      </c>
      <c r="I245" s="51" t="inlineStr">
        <is>
          <t>LD21 (66%); LD19 (34%)</t>
        </is>
      </c>
    </row>
    <row r="246" ht="15" customHeight="1" s="44">
      <c r="A246" s="51" t="inlineStr">
        <is>
          <t>85646</t>
        </is>
      </c>
      <c r="B246" s="51" t="inlineStr">
        <is>
          <t>Santa Cruz</t>
        </is>
      </c>
      <c r="C246" s="53" t="n">
        <v>1653</v>
      </c>
      <c r="D246" s="73" t="n">
        <v>1</v>
      </c>
      <c r="E246" s="70" t="n">
        <v>82.3</v>
      </c>
      <c r="F246" s="70" t="n">
        <v>80.4974817172312</v>
      </c>
      <c r="G246" s="51" t="n">
        <v>21</v>
      </c>
      <c r="H246" s="73" t="n">
        <v>1</v>
      </c>
      <c r="I246" s="51" t="inlineStr">
        <is>
          <t>LD21 (100%)</t>
        </is>
      </c>
    </row>
    <row r="247" ht="15" customHeight="1" s="44">
      <c r="A247" s="51" t="inlineStr">
        <is>
          <t>85648</t>
        </is>
      </c>
      <c r="B247" s="51" t="inlineStr">
        <is>
          <t>Santa Cruz</t>
        </is>
      </c>
      <c r="C247" s="53" t="n">
        <v>20720</v>
      </c>
      <c r="D247" s="73" t="n">
        <v>1</v>
      </c>
      <c r="E247" s="70" t="n">
        <v>82.0484362934363</v>
      </c>
      <c r="F247" s="70" t="n">
        <v>80.24591801066749</v>
      </c>
      <c r="G247" s="51" t="n">
        <v>21</v>
      </c>
      <c r="H247" s="73" t="n">
        <v>1</v>
      </c>
      <c r="I247" s="51" t="inlineStr">
        <is>
          <t>LD21 (100%)</t>
        </is>
      </c>
    </row>
    <row r="248" ht="15" customHeight="1" s="44">
      <c r="A248" s="51" t="inlineStr">
        <is>
          <t>85650</t>
        </is>
      </c>
      <c r="B248" s="51" t="inlineStr">
        <is>
          <t>Cochise</t>
        </is>
      </c>
      <c r="C248" s="53" t="n">
        <v>14857</v>
      </c>
      <c r="D248" s="73" t="n">
        <v>1</v>
      </c>
      <c r="E248" s="70" t="n">
        <v>80.81649727401231</v>
      </c>
      <c r="F248" s="70" t="n">
        <v>78.3477746545864</v>
      </c>
      <c r="G248" s="51" t="n">
        <v>19</v>
      </c>
      <c r="H248" s="73" t="n">
        <v>1</v>
      </c>
      <c r="I248" s="51" t="inlineStr">
        <is>
          <t>LD19 (100%)</t>
        </is>
      </c>
    </row>
    <row r="249" ht="15" customHeight="1" s="44">
      <c r="A249" s="51" t="inlineStr">
        <is>
          <t>85653</t>
        </is>
      </c>
      <c r="B249" s="51" t="inlineStr">
        <is>
          <t>Pima</t>
        </is>
      </c>
      <c r="C249" s="53" t="n">
        <v>19885</v>
      </c>
      <c r="D249" s="73" t="n">
        <v>1</v>
      </c>
      <c r="E249" s="70" t="n">
        <v>78.3063062610008</v>
      </c>
      <c r="F249" s="70" t="n">
        <v>76.22265127309851</v>
      </c>
      <c r="G249" s="51" t="n">
        <v>17</v>
      </c>
      <c r="H249" s="73" t="n">
        <v>0.6305758109127479</v>
      </c>
      <c r="I249" s="51" t="inlineStr">
        <is>
          <t>LD17 (63%); LD16 (37%)</t>
        </is>
      </c>
    </row>
    <row r="250" ht="15" customHeight="1" s="44">
      <c r="A250" s="51" t="inlineStr">
        <is>
          <t>85654</t>
        </is>
      </c>
      <c r="B250" s="51" t="inlineStr">
        <is>
          <t>Pima</t>
        </is>
      </c>
      <c r="C250" s="53" t="n">
        <v>94</v>
      </c>
      <c r="D250" s="73" t="n">
        <v>1</v>
      </c>
      <c r="E250" s="70" t="n">
        <v>79.90000000000001</v>
      </c>
      <c r="F250" s="70" t="n">
        <v>77.8159294841478</v>
      </c>
      <c r="G250" s="51" t="n">
        <v>17</v>
      </c>
      <c r="H250" s="73" t="n">
        <v>1</v>
      </c>
      <c r="I250" s="51" t="inlineStr">
        <is>
          <t>LD17 (100%)</t>
        </is>
      </c>
    </row>
    <row r="251" ht="15" customHeight="1" s="44">
      <c r="A251" s="51" t="inlineStr">
        <is>
          <t>85658</t>
        </is>
      </c>
      <c r="B251" s="51" t="inlineStr">
        <is>
          <t>Pima</t>
        </is>
      </c>
      <c r="C251" s="53" t="n">
        <v>15791</v>
      </c>
      <c r="D251" s="73" t="n">
        <v>1</v>
      </c>
      <c r="E251" s="70" t="n">
        <v>81.51171553416501</v>
      </c>
      <c r="F251" s="70" t="n">
        <v>79.4863546100178</v>
      </c>
      <c r="G251" s="51" t="n">
        <v>17</v>
      </c>
      <c r="H251" s="73" t="n">
        <v>0.998606801342537</v>
      </c>
      <c r="I251" s="51" t="inlineStr">
        <is>
          <t>LD17 (100%)</t>
        </is>
      </c>
    </row>
    <row r="252" ht="15" customHeight="1" s="44">
      <c r="A252" s="51" t="inlineStr">
        <is>
          <t>85701</t>
        </is>
      </c>
      <c r="B252" s="51" t="inlineStr">
        <is>
          <t>Pima</t>
        </is>
      </c>
      <c r="C252" s="53" t="n">
        <v>5132</v>
      </c>
      <c r="D252" s="73" t="n">
        <v>0.820732657833204</v>
      </c>
      <c r="E252" s="70" t="n">
        <v>75.3519705603039</v>
      </c>
      <c r="F252" s="70" t="n">
        <v>73.26790004445169</v>
      </c>
      <c r="G252" s="51" t="n">
        <v>20</v>
      </c>
      <c r="H252" s="73" t="n">
        <v>1</v>
      </c>
      <c r="I252" s="51" t="inlineStr">
        <is>
          <t>LD20 (100%)</t>
        </is>
      </c>
    </row>
    <row r="253" ht="15" customHeight="1" s="44">
      <c r="A253" s="51" t="inlineStr">
        <is>
          <t>85704</t>
        </is>
      </c>
      <c r="B253" s="51" t="inlineStr">
        <is>
          <t>Pima</t>
        </is>
      </c>
      <c r="C253" s="53" t="n">
        <v>34430</v>
      </c>
      <c r="D253" s="73" t="n">
        <v>0.905634620970084</v>
      </c>
      <c r="E253" s="70" t="n">
        <v>78.79247298034061</v>
      </c>
      <c r="F253" s="70" t="n">
        <v>76.7084024644884</v>
      </c>
      <c r="G253" s="51" t="n">
        <v>18</v>
      </c>
      <c r="H253" s="73" t="n">
        <v>0.781585826314261</v>
      </c>
      <c r="I253" s="51" t="inlineStr">
        <is>
          <t>LD18 (78%); LD17 (18%); LD20 (3%)</t>
        </is>
      </c>
    </row>
    <row r="254" ht="15" customHeight="1" s="44">
      <c r="A254" s="51" t="inlineStr">
        <is>
          <t>85705</t>
        </is>
      </c>
      <c r="B254" s="51" t="inlineStr">
        <is>
          <t>Pima</t>
        </is>
      </c>
      <c r="C254" s="53" t="n">
        <v>56711</v>
      </c>
      <c r="D254" s="73" t="n">
        <v>1</v>
      </c>
      <c r="E254" s="70" t="n">
        <v>74.8133466170584</v>
      </c>
      <c r="F254" s="70" t="n">
        <v>72.7292761012062</v>
      </c>
      <c r="G254" s="51" t="n">
        <v>20</v>
      </c>
      <c r="H254" s="73" t="n">
        <v>0.996050149001076</v>
      </c>
      <c r="I254" s="51" t="inlineStr">
        <is>
          <t>LD20 (100%)</t>
        </is>
      </c>
    </row>
    <row r="255" ht="15" customHeight="1" s="44">
      <c r="A255" s="51" t="inlineStr">
        <is>
          <t>85706</t>
        </is>
      </c>
      <c r="B255" s="51" t="inlineStr">
        <is>
          <t>Pima</t>
        </is>
      </c>
      <c r="C255" s="53" t="n">
        <v>54853</v>
      </c>
      <c r="D255" s="73" t="n">
        <v>0.999507775326783</v>
      </c>
      <c r="E255" s="70" t="n">
        <v>76.7208459490023</v>
      </c>
      <c r="F255" s="70" t="n">
        <v>74.63677543315011</v>
      </c>
      <c r="G255" s="51" t="n">
        <v>21</v>
      </c>
      <c r="H255" s="73" t="n">
        <v>0.69952418281589</v>
      </c>
      <c r="I255" s="51" t="inlineStr">
        <is>
          <t>LD21 (70%); LD20 (30%)</t>
        </is>
      </c>
    </row>
    <row r="256" ht="15" customHeight="1" s="44">
      <c r="A256" s="51" t="inlineStr">
        <is>
          <t>85707</t>
        </is>
      </c>
      <c r="B256" s="51" t="inlineStr">
        <is>
          <t>Pima</t>
        </is>
      </c>
      <c r="C256" s="53" t="n">
        <v>734</v>
      </c>
      <c r="D256" s="73" t="n">
        <v>0</v>
      </c>
      <c r="E256" s="70" t="n"/>
      <c r="F256" s="70" t="n"/>
      <c r="G256" s="51" t="n">
        <v>21</v>
      </c>
      <c r="H256" s="73" t="n">
        <v>1</v>
      </c>
      <c r="I256" s="51" t="inlineStr">
        <is>
          <t>LD21 (100%)</t>
        </is>
      </c>
    </row>
    <row r="257" ht="15" customHeight="1" s="44">
      <c r="A257" s="51" t="inlineStr">
        <is>
          <t>85708</t>
        </is>
      </c>
      <c r="B257" s="51" t="inlineStr">
        <is>
          <t>Pima</t>
        </is>
      </c>
      <c r="C257" s="53" t="n">
        <v>3837</v>
      </c>
      <c r="D257" s="73" t="n">
        <v>0</v>
      </c>
      <c r="E257" s="70" t="n"/>
      <c r="F257" s="70" t="n"/>
      <c r="G257" s="51" t="n">
        <v>21</v>
      </c>
      <c r="H257" s="73" t="n">
        <v>1</v>
      </c>
      <c r="I257" s="51" t="inlineStr">
        <is>
          <t>LD21 (100%)</t>
        </is>
      </c>
    </row>
    <row r="258" ht="15" customHeight="1" s="44">
      <c r="A258" s="51" t="inlineStr">
        <is>
          <t>85710</t>
        </is>
      </c>
      <c r="B258" s="51" t="inlineStr">
        <is>
          <t>Pima</t>
        </is>
      </c>
      <c r="C258" s="53" t="n">
        <v>57381</v>
      </c>
      <c r="D258" s="73" t="n">
        <v>1</v>
      </c>
      <c r="E258" s="70" t="n">
        <v>77.50926439065201</v>
      </c>
      <c r="F258" s="70" t="n">
        <v>75.4251938747997</v>
      </c>
      <c r="G258" s="51" t="n">
        <v>18</v>
      </c>
      <c r="H258" s="73" t="n">
        <v>0.504017009114515</v>
      </c>
      <c r="I258" s="51" t="inlineStr">
        <is>
          <t>LD18 (50%); LD21 (32%); LD17 (18%)</t>
        </is>
      </c>
    </row>
    <row r="259" ht="15" customHeight="1" s="44">
      <c r="A259" s="51" t="inlineStr">
        <is>
          <t>85711</t>
        </is>
      </c>
      <c r="B259" s="51" t="inlineStr">
        <is>
          <t>Pima</t>
        </is>
      </c>
      <c r="C259" s="53" t="n">
        <v>41518</v>
      </c>
      <c r="D259" s="73" t="n">
        <v>0.9842477961366149</v>
      </c>
      <c r="E259" s="70" t="n">
        <v>75.4707933633516</v>
      </c>
      <c r="F259" s="70" t="n">
        <v>73.3867228474994</v>
      </c>
      <c r="G259" s="51" t="n">
        <v>21</v>
      </c>
      <c r="H259" s="73" t="n">
        <v>0.675682836360133</v>
      </c>
      <c r="I259" s="51" t="inlineStr">
        <is>
          <t>LD21 (68%); LD18 (32%)</t>
        </is>
      </c>
    </row>
    <row r="260" ht="15" customHeight="1" s="44">
      <c r="A260" s="51" t="inlineStr">
        <is>
          <t>85712</t>
        </is>
      </c>
      <c r="B260" s="51" t="inlineStr">
        <is>
          <t>Pima</t>
        </is>
      </c>
      <c r="C260" s="53" t="n">
        <v>33108</v>
      </c>
      <c r="D260" s="73" t="n">
        <v>0.931557327534131</v>
      </c>
      <c r="E260" s="70" t="n">
        <v>74.2875364762337</v>
      </c>
      <c r="F260" s="70" t="n">
        <v>72.20346596038149</v>
      </c>
      <c r="G260" s="51" t="n">
        <v>18</v>
      </c>
      <c r="H260" s="73" t="n">
        <v>1</v>
      </c>
      <c r="I260" s="51" t="inlineStr">
        <is>
          <t>LD18 (100%)</t>
        </is>
      </c>
    </row>
    <row r="261" ht="15" customHeight="1" s="44">
      <c r="A261" s="51" t="inlineStr">
        <is>
          <t>85713</t>
        </is>
      </c>
      <c r="B261" s="51" t="inlineStr">
        <is>
          <t>Pima</t>
        </is>
      </c>
      <c r="C261" s="53" t="n">
        <v>46810</v>
      </c>
      <c r="D261" s="73" t="n">
        <v>1</v>
      </c>
      <c r="E261" s="70" t="n">
        <v>76.46373424481951</v>
      </c>
      <c r="F261" s="70" t="n">
        <v>74.3796637289672</v>
      </c>
      <c r="G261" s="51" t="n">
        <v>20</v>
      </c>
      <c r="H261" s="73" t="n">
        <v>0.571501815851314</v>
      </c>
      <c r="I261" s="51" t="inlineStr">
        <is>
          <t>LD20 (57%); LD21 (35%); LD16 (8%)</t>
        </is>
      </c>
    </row>
    <row r="262" ht="15" customHeight="1" s="44">
      <c r="A262" s="51" t="inlineStr">
        <is>
          <t>85714</t>
        </is>
      </c>
      <c r="B262" s="51" t="inlineStr">
        <is>
          <t>Pima</t>
        </is>
      </c>
      <c r="C262" s="53" t="n">
        <v>14232</v>
      </c>
      <c r="D262" s="73" t="n">
        <v>0.9820826306914</v>
      </c>
      <c r="E262" s="70" t="n">
        <v>76.875059025542</v>
      </c>
      <c r="F262" s="70" t="n">
        <v>74.7909885096897</v>
      </c>
      <c r="G262" s="51" t="n">
        <v>20</v>
      </c>
      <c r="H262" s="73" t="n">
        <v>0.514404159640247</v>
      </c>
      <c r="I262" s="51" t="inlineStr">
        <is>
          <t>LD20 (51%); LD21 (49%)</t>
        </is>
      </c>
    </row>
    <row r="263" ht="15" customHeight="1" s="44">
      <c r="A263" s="51" t="inlineStr">
        <is>
          <t>85715</t>
        </is>
      </c>
      <c r="B263" s="51" t="inlineStr">
        <is>
          <t>Pima</t>
        </is>
      </c>
      <c r="C263" s="53" t="n">
        <v>18561</v>
      </c>
      <c r="D263" s="73" t="n">
        <v>0.741285491083455</v>
      </c>
      <c r="E263" s="70" t="n">
        <v>79.827007776728</v>
      </c>
      <c r="F263" s="70" t="n">
        <v>77.74293726087571</v>
      </c>
      <c r="G263" s="51" t="n">
        <v>18</v>
      </c>
      <c r="H263" s="73" t="n">
        <v>0.805667798071225</v>
      </c>
      <c r="I263" s="51" t="inlineStr">
        <is>
          <t>LD18 (81%); LD17 (19%)</t>
        </is>
      </c>
    </row>
    <row r="264" ht="15" customHeight="1" s="44">
      <c r="A264" s="51" t="inlineStr">
        <is>
          <t>85716</t>
        </is>
      </c>
      <c r="B264" s="51" t="inlineStr">
        <is>
          <t>Pima</t>
        </is>
      </c>
      <c r="C264" s="53" t="n">
        <v>31521</v>
      </c>
      <c r="D264" s="73" t="n">
        <v>0.839091399384537</v>
      </c>
      <c r="E264" s="70" t="n">
        <v>74.52050739158381</v>
      </c>
      <c r="F264" s="70" t="n">
        <v>72.4364368757316</v>
      </c>
      <c r="G264" s="51" t="n">
        <v>18</v>
      </c>
      <c r="H264" s="73" t="n">
        <v>0.620602138257035</v>
      </c>
      <c r="I264" s="51" t="inlineStr">
        <is>
          <t>LD18 (62%); LD20 (30%); LD21 (8%)</t>
        </is>
      </c>
    </row>
    <row r="265" ht="15" customHeight="1" s="44">
      <c r="A265" s="51" t="inlineStr">
        <is>
          <t>85718</t>
        </is>
      </c>
      <c r="B265" s="51" t="inlineStr">
        <is>
          <t>Pima</t>
        </is>
      </c>
      <c r="C265" s="53" t="n">
        <v>28706</v>
      </c>
      <c r="D265" s="73" t="n">
        <v>1</v>
      </c>
      <c r="E265" s="70" t="n">
        <v>83.06742492858641</v>
      </c>
      <c r="F265" s="70" t="n">
        <v>80.9833544127341</v>
      </c>
      <c r="G265" s="51" t="n">
        <v>18</v>
      </c>
      <c r="H265" s="73" t="n">
        <v>1</v>
      </c>
      <c r="I265" s="51" t="inlineStr">
        <is>
          <t>LD18 (100%)</t>
        </is>
      </c>
    </row>
    <row r="266" ht="15" customHeight="1" s="44">
      <c r="A266" s="51" t="inlineStr">
        <is>
          <t>85719</t>
        </is>
      </c>
      <c r="B266" s="51" t="inlineStr">
        <is>
          <t>Pima</t>
        </is>
      </c>
      <c r="C266" s="53" t="n">
        <v>46242</v>
      </c>
      <c r="D266" s="73" t="n">
        <v>0.660330435534795</v>
      </c>
      <c r="E266" s="70" t="n">
        <v>77.7367479941051</v>
      </c>
      <c r="F266" s="70" t="n">
        <v>75.6526774782529</v>
      </c>
      <c r="G266" s="51" t="n">
        <v>20</v>
      </c>
      <c r="H266" s="73" t="n">
        <v>0.950672548765192</v>
      </c>
      <c r="I266" s="51" t="inlineStr">
        <is>
          <t>LD20 (95%); LD21 (3%); LD18 (2%)</t>
        </is>
      </c>
    </row>
    <row r="267" ht="15" customHeight="1" s="44">
      <c r="A267" s="51" t="inlineStr">
        <is>
          <t>85723</t>
        </is>
      </c>
      <c r="B267" s="51" t="inlineStr">
        <is>
          <t>Pima</t>
        </is>
      </c>
      <c r="C267" s="53" t="n">
        <v>132</v>
      </c>
      <c r="D267" s="73" t="n">
        <v>1</v>
      </c>
      <c r="E267" s="70" t="n">
        <v>74.2</v>
      </c>
      <c r="F267" s="70" t="n">
        <v>72.1159294841478</v>
      </c>
      <c r="G267" s="51" t="n">
        <v>20</v>
      </c>
      <c r="H267" s="73" t="n">
        <v>1</v>
      </c>
      <c r="I267" s="51" t="inlineStr">
        <is>
          <t>LD20 (100%)</t>
        </is>
      </c>
    </row>
    <row r="268" ht="15" customHeight="1" s="44">
      <c r="A268" s="51" t="inlineStr">
        <is>
          <t>85726</t>
        </is>
      </c>
      <c r="B268" s="51" t="inlineStr">
        <is>
          <t>Pima</t>
        </is>
      </c>
      <c r="C268" s="53" t="n">
        <v>11</v>
      </c>
      <c r="D268" s="73" t="n">
        <v>1</v>
      </c>
      <c r="E268" s="70" t="n">
        <v>68.5</v>
      </c>
      <c r="F268" s="70" t="n">
        <v>66.4159294841478</v>
      </c>
      <c r="G268" s="51" t="n">
        <v>21</v>
      </c>
      <c r="H268" s="73" t="n">
        <v>1</v>
      </c>
      <c r="I268" s="51" t="inlineStr">
        <is>
          <t>LD21 (100%)</t>
        </is>
      </c>
    </row>
    <row r="269" ht="15" customHeight="1" s="44">
      <c r="A269" s="51" t="inlineStr">
        <is>
          <t>85730</t>
        </is>
      </c>
      <c r="B269" s="51" t="inlineStr">
        <is>
          <t>Pima</t>
        </is>
      </c>
      <c r="C269" s="53" t="n">
        <v>39258</v>
      </c>
      <c r="D269" s="73" t="n">
        <v>0.996790463090326</v>
      </c>
      <c r="E269" s="70" t="n">
        <v>75.80519779208829</v>
      </c>
      <c r="F269" s="70" t="n">
        <v>73.7211272762361</v>
      </c>
      <c r="G269" s="51" t="n">
        <v>21</v>
      </c>
      <c r="H269" s="73" t="n">
        <v>0.506750216516379</v>
      </c>
      <c r="I269" s="51" t="inlineStr">
        <is>
          <t>LD21 (51%); LD17 (32%); LD18 (17%)</t>
        </is>
      </c>
    </row>
    <row r="270" ht="15" customHeight="1" s="44">
      <c r="A270" s="51" t="inlineStr">
        <is>
          <t>85734</t>
        </is>
      </c>
      <c r="B270" s="51" t="inlineStr">
        <is>
          <t>Pima</t>
        </is>
      </c>
      <c r="C270" s="53" t="n">
        <v>4855</v>
      </c>
      <c r="D270" s="73" t="n">
        <v>0.00638516992790937</v>
      </c>
      <c r="E270" s="70" t="n">
        <v>81.8</v>
      </c>
      <c r="F270" s="70" t="n">
        <v>79.71592948414779</v>
      </c>
      <c r="G270" s="51" t="n">
        <v>21</v>
      </c>
      <c r="H270" s="73" t="n">
        <v>1</v>
      </c>
      <c r="I270" s="51" t="inlineStr">
        <is>
          <t>LD21 (100%)</t>
        </is>
      </c>
    </row>
    <row r="271" ht="15" customHeight="1" s="44">
      <c r="A271" s="51" t="inlineStr">
        <is>
          <t>85735</t>
        </is>
      </c>
      <c r="B271" s="51" t="inlineStr">
        <is>
          <t>Pima</t>
        </is>
      </c>
      <c r="C271" s="53" t="n">
        <v>10522</v>
      </c>
      <c r="D271" s="73" t="n">
        <v>1</v>
      </c>
      <c r="E271" s="70" t="n">
        <v>80.2125451435089</v>
      </c>
      <c r="F271" s="70" t="n">
        <v>78.1284746276566</v>
      </c>
      <c r="G271" s="51" t="n">
        <v>16</v>
      </c>
      <c r="H271" s="73" t="n">
        <v>0.8053601976810491</v>
      </c>
      <c r="I271" s="51" t="inlineStr">
        <is>
          <t>LD16 (81%); LD23 (19%)</t>
        </is>
      </c>
    </row>
    <row r="272" ht="15" customHeight="1" s="44">
      <c r="A272" s="51" t="inlineStr">
        <is>
          <t>85736</t>
        </is>
      </c>
      <c r="B272" s="51" t="inlineStr">
        <is>
          <t>Pima</t>
        </is>
      </c>
      <c r="C272" s="53" t="n">
        <v>4569</v>
      </c>
      <c r="D272" s="73" t="n">
        <v>1</v>
      </c>
      <c r="E272" s="70" t="n">
        <v>75.60713504049031</v>
      </c>
      <c r="F272" s="70" t="n">
        <v>73.523064524638</v>
      </c>
      <c r="G272" s="51" t="n">
        <v>23</v>
      </c>
      <c r="H272" s="73" t="n">
        <v>0.981177500547166</v>
      </c>
      <c r="I272" s="51" t="inlineStr">
        <is>
          <t>LD23 (98%)</t>
        </is>
      </c>
    </row>
    <row r="273" ht="15" customHeight="1" s="44">
      <c r="A273" s="51" t="inlineStr">
        <is>
          <t>85737</t>
        </is>
      </c>
      <c r="B273" s="51" t="inlineStr">
        <is>
          <t>Pima</t>
        </is>
      </c>
      <c r="C273" s="53" t="n">
        <v>22212</v>
      </c>
      <c r="D273" s="73" t="n">
        <v>1</v>
      </c>
      <c r="E273" s="70" t="n">
        <v>83.58784891049881</v>
      </c>
      <c r="F273" s="70" t="n">
        <v>81.5037783946466</v>
      </c>
      <c r="G273" s="51" t="n">
        <v>17</v>
      </c>
      <c r="H273" s="73" t="n">
        <v>1</v>
      </c>
      <c r="I273" s="51" t="inlineStr">
        <is>
          <t>LD17 (100%)</t>
        </is>
      </c>
    </row>
    <row r="274" ht="15" customHeight="1" s="44">
      <c r="A274" s="51" t="inlineStr">
        <is>
          <t>85739</t>
        </is>
      </c>
      <c r="B274" s="51" t="inlineStr">
        <is>
          <t>Pinal</t>
        </is>
      </c>
      <c r="C274" s="53" t="n">
        <v>18878</v>
      </c>
      <c r="D274" s="73" t="n">
        <v>0.74939082529929</v>
      </c>
      <c r="E274" s="70" t="n">
        <v>82.8244433448788</v>
      </c>
      <c r="F274" s="70" t="n">
        <v>81.11651094988279</v>
      </c>
      <c r="G274" s="51" t="n">
        <v>17</v>
      </c>
      <c r="H274" s="73" t="n">
        <v>0.992107214747325</v>
      </c>
      <c r="I274" s="51" t="inlineStr">
        <is>
          <t>LD17 (99%)</t>
        </is>
      </c>
    </row>
    <row r="275" ht="15" customHeight="1" s="44">
      <c r="A275" s="51" t="inlineStr">
        <is>
          <t>85741</t>
        </is>
      </c>
      <c r="B275" s="51" t="inlineStr">
        <is>
          <t>Pima</t>
        </is>
      </c>
      <c r="C275" s="53" t="n">
        <v>34131</v>
      </c>
      <c r="D275" s="73" t="n">
        <v>1</v>
      </c>
      <c r="E275" s="70" t="n">
        <v>78.2080220327562</v>
      </c>
      <c r="F275" s="70" t="n">
        <v>76.1239515169039</v>
      </c>
      <c r="G275" s="51" t="n">
        <v>18</v>
      </c>
      <c r="H275" s="73" t="n">
        <v>0.925024171574229</v>
      </c>
      <c r="I275" s="51" t="inlineStr">
        <is>
          <t>LD18 (93%); LD17 (6%)</t>
        </is>
      </c>
    </row>
    <row r="276" ht="15" customHeight="1" s="44">
      <c r="A276" s="51" t="inlineStr">
        <is>
          <t>85742</t>
        </is>
      </c>
      <c r="B276" s="51" t="inlineStr">
        <is>
          <t>Pima</t>
        </is>
      </c>
      <c r="C276" s="53" t="n">
        <v>30057</v>
      </c>
      <c r="D276" s="73" t="n">
        <v>1</v>
      </c>
      <c r="E276" s="70" t="n">
        <v>80.3719532887514</v>
      </c>
      <c r="F276" s="70" t="n">
        <v>78.2878827728992</v>
      </c>
      <c r="G276" s="51" t="n">
        <v>17</v>
      </c>
      <c r="H276" s="73" t="n">
        <v>0.553914229630369</v>
      </c>
      <c r="I276" s="51" t="inlineStr">
        <is>
          <t>LD17 (55%); LD18 (45%)</t>
        </is>
      </c>
    </row>
    <row r="277" ht="15" customHeight="1" s="44">
      <c r="A277" s="51" t="inlineStr">
        <is>
          <t>85743</t>
        </is>
      </c>
      <c r="B277" s="51" t="inlineStr">
        <is>
          <t>Pima</t>
        </is>
      </c>
      <c r="C277" s="53" t="n">
        <v>30441</v>
      </c>
      <c r="D277" s="73" t="n">
        <v>1</v>
      </c>
      <c r="E277" s="70" t="n">
        <v>80.4831148779607</v>
      </c>
      <c r="F277" s="70" t="n">
        <v>78.3990443621084</v>
      </c>
      <c r="G277" s="51" t="n">
        <v>17</v>
      </c>
      <c r="H277" s="73" t="n">
        <v>0.913143457836471</v>
      </c>
      <c r="I277" s="51" t="inlineStr">
        <is>
          <t>LD17 (91%); LD16 (9%)</t>
        </is>
      </c>
    </row>
    <row r="278" ht="15" customHeight="1" s="44">
      <c r="A278" s="51" t="inlineStr">
        <is>
          <t>85745</t>
        </is>
      </c>
      <c r="B278" s="51" t="inlineStr">
        <is>
          <t>Pima</t>
        </is>
      </c>
      <c r="C278" s="53" t="n">
        <v>36774</v>
      </c>
      <c r="D278" s="73" t="n">
        <v>1</v>
      </c>
      <c r="E278" s="70" t="n">
        <v>79.940234948605</v>
      </c>
      <c r="F278" s="70" t="n">
        <v>77.85616443275281</v>
      </c>
      <c r="G278" s="51" t="n">
        <v>20</v>
      </c>
      <c r="H278" s="73" t="n">
        <v>0.662043835318432</v>
      </c>
      <c r="I278" s="51" t="inlineStr">
        <is>
          <t>LD20 (66%); LD16 (34%)</t>
        </is>
      </c>
    </row>
    <row r="279" ht="15" customHeight="1" s="44">
      <c r="A279" s="51" t="inlineStr">
        <is>
          <t>85746</t>
        </is>
      </c>
      <c r="B279" s="51" t="inlineStr">
        <is>
          <t>Pima</t>
        </is>
      </c>
      <c r="C279" s="53" t="n">
        <v>43278</v>
      </c>
      <c r="D279" s="73" t="n">
        <v>1</v>
      </c>
      <c r="E279" s="70" t="n">
        <v>78.3330606774805</v>
      </c>
      <c r="F279" s="70" t="n">
        <v>76.2489901616282</v>
      </c>
      <c r="G279" s="51" t="n">
        <v>20</v>
      </c>
      <c r="H279" s="73" t="n">
        <v>0.715421230186238</v>
      </c>
      <c r="I279" s="51" t="inlineStr">
        <is>
          <t>LD20 (72%); LD23 (28%)</t>
        </is>
      </c>
    </row>
    <row r="280" ht="15" customHeight="1" s="44">
      <c r="A280" s="51" t="inlineStr">
        <is>
          <t>85747</t>
        </is>
      </c>
      <c r="B280" s="51" t="inlineStr">
        <is>
          <t>Pima</t>
        </is>
      </c>
      <c r="C280" s="53" t="n">
        <v>27703</v>
      </c>
      <c r="D280" s="73" t="n">
        <v>1</v>
      </c>
      <c r="E280" s="70" t="n">
        <v>80.6888604122297</v>
      </c>
      <c r="F280" s="70" t="n">
        <v>78.6047898963775</v>
      </c>
      <c r="G280" s="51" t="n">
        <v>17</v>
      </c>
      <c r="H280" s="73" t="n">
        <v>0.998159044146843</v>
      </c>
      <c r="I280" s="51" t="inlineStr">
        <is>
          <t>LD17 (100%)</t>
        </is>
      </c>
    </row>
    <row r="281" ht="15" customHeight="1" s="44">
      <c r="A281" s="51" t="inlineStr">
        <is>
          <t>85748</t>
        </is>
      </c>
      <c r="B281" s="51" t="inlineStr">
        <is>
          <t>Pima</t>
        </is>
      </c>
      <c r="C281" s="53" t="n">
        <v>18816</v>
      </c>
      <c r="D281" s="73" t="n">
        <v>0.947544642857143</v>
      </c>
      <c r="E281" s="70" t="n">
        <v>79.9074709742554</v>
      </c>
      <c r="F281" s="70" t="n">
        <v>77.8234004584032</v>
      </c>
      <c r="G281" s="51" t="n">
        <v>17</v>
      </c>
      <c r="H281" s="73" t="n">
        <v>1</v>
      </c>
      <c r="I281" s="51" t="inlineStr">
        <is>
          <t>LD17 (100%)</t>
        </is>
      </c>
    </row>
    <row r="282" ht="15" customHeight="1" s="44">
      <c r="A282" s="51" t="inlineStr">
        <is>
          <t>85749</t>
        </is>
      </c>
      <c r="B282" s="51" t="inlineStr">
        <is>
          <t>Pima</t>
        </is>
      </c>
      <c r="C282" s="53" t="n">
        <v>19009</v>
      </c>
      <c r="D282" s="73" t="n">
        <v>0.886843074333211</v>
      </c>
      <c r="E282" s="70" t="n">
        <v>81.3103571004864</v>
      </c>
      <c r="F282" s="70" t="n">
        <v>79.2262865846342</v>
      </c>
      <c r="G282" s="51" t="n">
        <v>17</v>
      </c>
      <c r="H282" s="73" t="n">
        <v>0.999947393339997</v>
      </c>
      <c r="I282" s="51" t="inlineStr">
        <is>
          <t>LD17 (100%)</t>
        </is>
      </c>
    </row>
    <row r="283" ht="15" customHeight="1" s="44">
      <c r="A283" s="51" t="inlineStr">
        <is>
          <t>85750</t>
        </is>
      </c>
      <c r="B283" s="51" t="inlineStr">
        <is>
          <t>Pima</t>
        </is>
      </c>
      <c r="C283" s="53" t="n">
        <v>25007</v>
      </c>
      <c r="D283" s="73" t="n">
        <v>0.769584516335426</v>
      </c>
      <c r="E283" s="70" t="n">
        <v>84.993613925695</v>
      </c>
      <c r="F283" s="70" t="n">
        <v>82.9095434098428</v>
      </c>
      <c r="G283" s="51" t="n">
        <v>18</v>
      </c>
      <c r="H283" s="73" t="n">
        <v>1</v>
      </c>
      <c r="I283" s="51" t="inlineStr">
        <is>
          <t>LD18 (100%)</t>
        </is>
      </c>
    </row>
    <row r="284" ht="15" customHeight="1" s="44">
      <c r="A284" s="51" t="inlineStr">
        <is>
          <t>85755</t>
        </is>
      </c>
      <c r="B284" s="51" t="inlineStr">
        <is>
          <t>Pima</t>
        </is>
      </c>
      <c r="C284" s="53" t="n">
        <v>18277</v>
      </c>
      <c r="D284" s="73" t="n">
        <v>1</v>
      </c>
      <c r="E284" s="70" t="n">
        <v>83.5871313672922</v>
      </c>
      <c r="F284" s="70" t="n">
        <v>81.50306085144</v>
      </c>
      <c r="G284" s="51" t="n">
        <v>17</v>
      </c>
      <c r="H284" s="73" t="n">
        <v>1</v>
      </c>
      <c r="I284" s="51" t="inlineStr">
        <is>
          <t>LD17 (100%)</t>
        </is>
      </c>
    </row>
    <row r="285" ht="15" customHeight="1" s="44">
      <c r="A285" s="51" t="inlineStr">
        <is>
          <t>85756</t>
        </is>
      </c>
      <c r="B285" s="51" t="inlineStr">
        <is>
          <t>Pima</t>
        </is>
      </c>
      <c r="C285" s="53" t="n">
        <v>35345</v>
      </c>
      <c r="D285" s="73" t="n">
        <v>0.410496534163248</v>
      </c>
      <c r="E285" s="70" t="n">
        <v>78.0845130608588</v>
      </c>
      <c r="F285" s="70" t="n">
        <v>76.00044254500651</v>
      </c>
      <c r="G285" s="51" t="n">
        <v>21</v>
      </c>
      <c r="H285" s="73" t="n">
        <v>0.549130004243882</v>
      </c>
      <c r="I285" s="51" t="inlineStr">
        <is>
          <t>LD21 (55%); LD19 (21%); LD20 (21%); LD23 (2%)</t>
        </is>
      </c>
    </row>
    <row r="286" ht="15" customHeight="1" s="44">
      <c r="A286" s="51" t="inlineStr">
        <is>
          <t>85757</t>
        </is>
      </c>
      <c r="B286" s="51" t="inlineStr">
        <is>
          <t>Pima</t>
        </is>
      </c>
      <c r="C286" s="53" t="n">
        <v>21712</v>
      </c>
      <c r="D286" s="73" t="n">
        <v>1</v>
      </c>
      <c r="E286" s="70" t="n">
        <v>77.3663550110538</v>
      </c>
      <c r="F286" s="70" t="n">
        <v>75.28228449520159</v>
      </c>
      <c r="G286" s="51" t="n">
        <v>23</v>
      </c>
      <c r="H286" s="73" t="n">
        <v>0.594417833456153</v>
      </c>
      <c r="I286" s="51" t="inlineStr">
        <is>
          <t>LD23 (59%); LD20 (41%)</t>
        </is>
      </c>
    </row>
    <row r="287" ht="15" customHeight="1" s="44">
      <c r="A287" s="51" t="inlineStr">
        <is>
          <t>85901</t>
        </is>
      </c>
      <c r="B287" s="51" t="inlineStr">
        <is>
          <t>Navajo</t>
        </is>
      </c>
      <c r="C287" s="53" t="n">
        <v>18701</v>
      </c>
      <c r="D287" s="73" t="n">
        <v>1</v>
      </c>
      <c r="E287" s="70" t="n">
        <v>79.6531148066948</v>
      </c>
      <c r="F287" s="70" t="n">
        <v>69.83554115304629</v>
      </c>
      <c r="G287" s="51" t="n">
        <v>7</v>
      </c>
      <c r="H287" s="73" t="n">
        <v>0.968611304208331</v>
      </c>
      <c r="I287" s="51" t="inlineStr">
        <is>
          <t>LD7 (97%); LD6 (3%)</t>
        </is>
      </c>
    </row>
    <row r="288" ht="15" customHeight="1" s="44">
      <c r="A288" s="51" t="inlineStr">
        <is>
          <t>85902</t>
        </is>
      </c>
      <c r="B288" s="51" t="inlineStr">
        <is>
          <t>Navajo</t>
        </is>
      </c>
      <c r="C288" s="53" t="n">
        <v>16</v>
      </c>
      <c r="D288" s="73" t="n">
        <v>1</v>
      </c>
      <c r="E288" s="70" t="n">
        <v>75.5</v>
      </c>
      <c r="F288" s="70" t="n">
        <v>65.7508214173333</v>
      </c>
      <c r="G288" s="51" t="n">
        <v>6</v>
      </c>
      <c r="H288" s="73" t="n">
        <v>1</v>
      </c>
      <c r="I288" s="51" t="inlineStr">
        <is>
          <t>LD6 (100%)</t>
        </is>
      </c>
    </row>
    <row r="289" ht="15" customHeight="1" s="44">
      <c r="A289" s="51" t="inlineStr">
        <is>
          <t>85911</t>
        </is>
      </c>
      <c r="B289" s="51" t="inlineStr">
        <is>
          <t>Navajo</t>
        </is>
      </c>
      <c r="C289" s="53" t="n">
        <v>1915</v>
      </c>
      <c r="D289" s="73" t="n">
        <v>1</v>
      </c>
      <c r="E289" s="70" t="n">
        <v>75.5</v>
      </c>
      <c r="F289" s="70" t="n">
        <v>65.7508214173333</v>
      </c>
      <c r="G289" s="51" t="n">
        <v>6</v>
      </c>
      <c r="H289" s="73" t="n">
        <v>1</v>
      </c>
      <c r="I289" s="51" t="inlineStr">
        <is>
          <t>LD6 (100%)</t>
        </is>
      </c>
    </row>
    <row r="290" ht="15" customHeight="1" s="44">
      <c r="A290" s="51" t="inlineStr">
        <is>
          <t>85912</t>
        </is>
      </c>
      <c r="B290" s="51" t="inlineStr">
        <is>
          <t>Navajo</t>
        </is>
      </c>
      <c r="C290" s="53" t="n">
        <v>269</v>
      </c>
      <c r="D290" s="73" t="n">
        <v>1</v>
      </c>
      <c r="E290" s="70" t="n">
        <v>78.97509293680299</v>
      </c>
      <c r="F290" s="70" t="n">
        <v>69.22591435413629</v>
      </c>
      <c r="G290" s="51" t="n">
        <v>7</v>
      </c>
      <c r="H290" s="73" t="n">
        <v>1</v>
      </c>
      <c r="I290" s="51" t="inlineStr">
        <is>
          <t>LD7 (100%)</t>
        </is>
      </c>
    </row>
    <row r="291" ht="15" customHeight="1" s="44">
      <c r="A291" s="51" t="inlineStr">
        <is>
          <t>85920</t>
        </is>
      </c>
      <c r="B291" s="51" t="inlineStr">
        <is>
          <t>Apache</t>
        </is>
      </c>
      <c r="C291" s="53" t="n">
        <v>677</v>
      </c>
      <c r="D291" s="73" t="n">
        <v>1</v>
      </c>
      <c r="E291" s="70" t="n">
        <v>79.8</v>
      </c>
      <c r="F291" s="70" t="n">
        <v>67.8718499992204</v>
      </c>
      <c r="G291" s="51" t="n">
        <v>6</v>
      </c>
      <c r="H291" s="73" t="n">
        <v>1</v>
      </c>
      <c r="I291" s="51" t="inlineStr">
        <is>
          <t>LD6 (100%)</t>
        </is>
      </c>
    </row>
    <row r="292" ht="15" customHeight="1" s="44">
      <c r="A292" s="51" t="inlineStr">
        <is>
          <t>85922</t>
        </is>
      </c>
      <c r="B292" s="51" t="inlineStr">
        <is>
          <t>Greenlee</t>
        </is>
      </c>
      <c r="C292" s="53" t="n">
        <v>68</v>
      </c>
      <c r="D292" s="73" t="n">
        <v>1</v>
      </c>
      <c r="E292" s="70" t="n">
        <v>85.8</v>
      </c>
      <c r="F292" s="70" t="n">
        <v>77.9641232521104</v>
      </c>
      <c r="G292" s="51" t="n">
        <v>19</v>
      </c>
      <c r="H292" s="73" t="n">
        <v>1</v>
      </c>
      <c r="I292" s="51" t="inlineStr">
        <is>
          <t>LD19 (100%)</t>
        </is>
      </c>
    </row>
    <row r="293" ht="15" customHeight="1" s="44">
      <c r="A293" s="51" t="inlineStr">
        <is>
          <t>85923</t>
        </is>
      </c>
      <c r="B293" s="51" t="inlineStr">
        <is>
          <t>Navajo</t>
        </is>
      </c>
      <c r="C293" s="53" t="n">
        <v>499</v>
      </c>
      <c r="D293" s="73" t="n">
        <v>1</v>
      </c>
      <c r="E293" s="70" t="n">
        <v>76.09999999999999</v>
      </c>
      <c r="F293" s="70" t="n">
        <v>66.35082141733329</v>
      </c>
      <c r="G293" s="51" t="n">
        <v>7</v>
      </c>
      <c r="H293" s="73" t="n">
        <v>1</v>
      </c>
      <c r="I293" s="51" t="inlineStr">
        <is>
          <t>LD7 (100%)</t>
        </is>
      </c>
    </row>
    <row r="294" ht="15" customHeight="1" s="44">
      <c r="A294" s="51" t="inlineStr">
        <is>
          <t>85924</t>
        </is>
      </c>
      <c r="B294" s="51" t="inlineStr">
        <is>
          <t>Apache</t>
        </is>
      </c>
      <c r="C294" s="53" t="n">
        <v>2851</v>
      </c>
      <c r="D294" s="73" t="n">
        <v>1</v>
      </c>
      <c r="E294" s="70" t="n">
        <v>76.09999999999999</v>
      </c>
      <c r="F294" s="70" t="n">
        <v>64.1718499992204</v>
      </c>
      <c r="G294" s="51" t="n">
        <v>6</v>
      </c>
      <c r="H294" s="73" t="n">
        <v>1</v>
      </c>
      <c r="I294" s="51" t="inlineStr">
        <is>
          <t>LD6 (100%)</t>
        </is>
      </c>
    </row>
    <row r="295" ht="15" customHeight="1" s="44">
      <c r="A295" s="51" t="inlineStr">
        <is>
          <t>85925</t>
        </is>
      </c>
      <c r="B295" s="51" t="inlineStr">
        <is>
          <t>Apache</t>
        </is>
      </c>
      <c r="C295" s="53" t="n">
        <v>4332</v>
      </c>
      <c r="D295" s="73" t="n">
        <v>1</v>
      </c>
      <c r="E295" s="70" t="n">
        <v>76.8857802400739</v>
      </c>
      <c r="F295" s="70" t="n">
        <v>64.9576302392943</v>
      </c>
      <c r="G295" s="51" t="n">
        <v>6</v>
      </c>
      <c r="H295" s="73" t="n">
        <v>1</v>
      </c>
      <c r="I295" s="51" t="inlineStr">
        <is>
          <t>LD6 (100%)</t>
        </is>
      </c>
    </row>
    <row r="296" ht="15" customHeight="1" s="44">
      <c r="A296" s="51" t="inlineStr">
        <is>
          <t>85926</t>
        </is>
      </c>
      <c r="B296" s="51" t="inlineStr">
        <is>
          <t>Navajo</t>
        </is>
      </c>
      <c r="C296" s="53" t="n">
        <v>435</v>
      </c>
      <c r="D296" s="73" t="n">
        <v>1</v>
      </c>
      <c r="E296" s="70" t="n">
        <v>75.5</v>
      </c>
      <c r="F296" s="70" t="n">
        <v>65.7508214173333</v>
      </c>
      <c r="G296" s="51" t="n">
        <v>6</v>
      </c>
      <c r="H296" s="73" t="n">
        <v>1</v>
      </c>
      <c r="I296" s="51" t="inlineStr">
        <is>
          <t>LD6 (100%)</t>
        </is>
      </c>
    </row>
    <row r="297" ht="15" customHeight="1" s="44">
      <c r="A297" s="51" t="inlineStr">
        <is>
          <t>85927</t>
        </is>
      </c>
      <c r="B297" s="51" t="inlineStr">
        <is>
          <t>Apache</t>
        </is>
      </c>
      <c r="C297" s="53" t="n">
        <v>176</v>
      </c>
      <c r="D297" s="73" t="n">
        <v>1</v>
      </c>
      <c r="E297" s="70" t="n">
        <v>79.8</v>
      </c>
      <c r="F297" s="70" t="n">
        <v>67.8718499992204</v>
      </c>
      <c r="G297" s="51" t="n">
        <v>6</v>
      </c>
      <c r="H297" s="73" t="n">
        <v>1</v>
      </c>
      <c r="I297" s="51" t="inlineStr">
        <is>
          <t>LD6 (100%)</t>
        </is>
      </c>
    </row>
    <row r="298" ht="15" customHeight="1" s="44">
      <c r="A298" s="51" t="inlineStr">
        <is>
          <t>85928</t>
        </is>
      </c>
      <c r="B298" s="51" t="inlineStr">
        <is>
          <t>Navajo</t>
        </is>
      </c>
      <c r="C298" s="53" t="n">
        <v>752</v>
      </c>
      <c r="D298" s="73" t="n">
        <v>0.488031914893617</v>
      </c>
      <c r="E298" s="70" t="n">
        <v>78.650136239782</v>
      </c>
      <c r="F298" s="70" t="n">
        <v>68.9009576571154</v>
      </c>
      <c r="G298" s="51" t="n">
        <v>7</v>
      </c>
      <c r="H298" s="73" t="n">
        <v>1</v>
      </c>
      <c r="I298" s="51" t="inlineStr">
        <is>
          <t>LD7 (100%)</t>
        </is>
      </c>
    </row>
    <row r="299" ht="15" customHeight="1" s="44">
      <c r="A299" s="51" t="inlineStr">
        <is>
          <t>85929</t>
        </is>
      </c>
      <c r="B299" s="51" t="inlineStr">
        <is>
          <t>Navajo</t>
        </is>
      </c>
      <c r="C299" s="53" t="n">
        <v>8040</v>
      </c>
      <c r="D299" s="73" t="n">
        <v>0.791044776119403</v>
      </c>
      <c r="E299" s="70" t="n">
        <v>77.5314779874214</v>
      </c>
      <c r="F299" s="70" t="n">
        <v>67.7822994047547</v>
      </c>
      <c r="G299" s="51" t="n">
        <v>7</v>
      </c>
      <c r="H299" s="73" t="n">
        <v>0.998880597014925</v>
      </c>
      <c r="I299" s="51" t="inlineStr">
        <is>
          <t>LD7 (100%)</t>
        </is>
      </c>
    </row>
    <row r="300" ht="15" customHeight="1" s="44">
      <c r="A300" s="51" t="inlineStr">
        <is>
          <t>85930</t>
        </is>
      </c>
      <c r="B300" s="51" t="inlineStr">
        <is>
          <t>Navajo</t>
        </is>
      </c>
      <c r="C300" s="53" t="n">
        <v>1122</v>
      </c>
      <c r="D300" s="73" t="n">
        <v>1</v>
      </c>
      <c r="E300" s="70" t="n">
        <v>77.47754010695191</v>
      </c>
      <c r="F300" s="70" t="n">
        <v>66.7262677170247</v>
      </c>
      <c r="G300" s="51" t="n">
        <v>6</v>
      </c>
      <c r="H300" s="73" t="n">
        <v>1</v>
      </c>
      <c r="I300" s="51" t="inlineStr">
        <is>
          <t>LD6 (100%)</t>
        </is>
      </c>
    </row>
    <row r="301" ht="15" customHeight="1" s="44">
      <c r="A301" s="51" t="inlineStr">
        <is>
          <t>85931</t>
        </is>
      </c>
      <c r="B301" s="51" t="inlineStr">
        <is>
          <t>Coconino</t>
        </is>
      </c>
      <c r="C301" s="53" t="n">
        <v>178</v>
      </c>
      <c r="D301" s="73" t="n">
        <v>1</v>
      </c>
      <c r="E301" s="70" t="n">
        <v>85.09999999999999</v>
      </c>
      <c r="F301" s="70" t="n">
        <v>82.0667377568917</v>
      </c>
      <c r="G301" s="51" t="n">
        <v>7</v>
      </c>
      <c r="H301" s="73" t="n">
        <v>1</v>
      </c>
      <c r="I301" s="51" t="inlineStr">
        <is>
          <t>LD7 (100%)</t>
        </is>
      </c>
    </row>
    <row r="302" ht="15" customHeight="1" s="44">
      <c r="A302" s="51" t="inlineStr">
        <is>
          <t>85932</t>
        </is>
      </c>
      <c r="B302" s="51" t="inlineStr">
        <is>
          <t>Apache</t>
        </is>
      </c>
      <c r="C302" s="53" t="n">
        <v>481</v>
      </c>
      <c r="D302" s="73" t="n">
        <v>1</v>
      </c>
      <c r="E302" s="70" t="n">
        <v>79.8</v>
      </c>
      <c r="F302" s="70" t="n">
        <v>67.8718499992204</v>
      </c>
      <c r="G302" s="51" t="n">
        <v>6</v>
      </c>
      <c r="H302" s="73" t="n">
        <v>1</v>
      </c>
      <c r="I302" s="51" t="inlineStr">
        <is>
          <t>LD6 (100%)</t>
        </is>
      </c>
    </row>
    <row r="303" ht="15" customHeight="1" s="44">
      <c r="A303" s="51" t="inlineStr">
        <is>
          <t>85933</t>
        </is>
      </c>
      <c r="B303" s="51" t="inlineStr">
        <is>
          <t>Navajo</t>
        </is>
      </c>
      <c r="C303" s="53" t="n">
        <v>3639</v>
      </c>
      <c r="D303" s="73" t="n">
        <v>0.593569661995054</v>
      </c>
      <c r="E303" s="70" t="n">
        <v>79.0199074074074</v>
      </c>
      <c r="F303" s="70" t="n">
        <v>69.2707288247408</v>
      </c>
      <c r="G303" s="51" t="n">
        <v>7</v>
      </c>
      <c r="H303" s="73" t="n">
        <v>1</v>
      </c>
      <c r="I303" s="51" t="inlineStr">
        <is>
          <t>LD7 (100%)</t>
        </is>
      </c>
    </row>
    <row r="304" ht="15" customHeight="1" s="44">
      <c r="A304" s="51" t="inlineStr">
        <is>
          <t>85934</t>
        </is>
      </c>
      <c r="B304" s="51" t="inlineStr">
        <is>
          <t>Navajo</t>
        </is>
      </c>
      <c r="C304" s="53" t="n">
        <v>601</v>
      </c>
      <c r="D304" s="73" t="n">
        <v>1</v>
      </c>
      <c r="E304" s="70" t="n">
        <v>76.6006655574043</v>
      </c>
      <c r="F304" s="70" t="n">
        <v>66.8514869747377</v>
      </c>
      <c r="G304" s="51" t="n">
        <v>7</v>
      </c>
      <c r="H304" s="73" t="n">
        <v>1</v>
      </c>
      <c r="I304" s="51" t="inlineStr">
        <is>
          <t>LD7 (100%)</t>
        </is>
      </c>
    </row>
    <row r="305" ht="15" customHeight="1" s="44">
      <c r="A305" s="51" t="inlineStr">
        <is>
          <t>85935</t>
        </is>
      </c>
      <c r="B305" s="51" t="inlineStr">
        <is>
          <t>Navajo</t>
        </is>
      </c>
      <c r="C305" s="53" t="n">
        <v>3945</v>
      </c>
      <c r="D305" s="73" t="n">
        <v>0.702661596958175</v>
      </c>
      <c r="E305" s="70" t="n">
        <v>79.6268398268398</v>
      </c>
      <c r="F305" s="70" t="n">
        <v>69.8776612441732</v>
      </c>
      <c r="G305" s="51" t="n">
        <v>7</v>
      </c>
      <c r="H305" s="73" t="n">
        <v>0.934347275031686</v>
      </c>
      <c r="I305" s="51" t="inlineStr">
        <is>
          <t>LD7 (93%); LD6 (7%)</t>
        </is>
      </c>
    </row>
    <row r="306" ht="15" customHeight="1" s="44">
      <c r="A306" s="51" t="inlineStr">
        <is>
          <t>85936</t>
        </is>
      </c>
      <c r="B306" s="51" t="inlineStr">
        <is>
          <t>Apache</t>
        </is>
      </c>
      <c r="C306" s="53" t="n">
        <v>4217</v>
      </c>
      <c r="D306" s="73" t="n">
        <v>1</v>
      </c>
      <c r="E306" s="70" t="n">
        <v>76.4888546359972</v>
      </c>
      <c r="F306" s="70" t="n">
        <v>64.5607046352176</v>
      </c>
      <c r="G306" s="51" t="n">
        <v>6</v>
      </c>
      <c r="H306" s="73" t="n">
        <v>1</v>
      </c>
      <c r="I306" s="51" t="inlineStr">
        <is>
          <t>LD6 (100%)</t>
        </is>
      </c>
    </row>
    <row r="307" ht="15" customHeight="1" s="44">
      <c r="A307" s="51" t="inlineStr">
        <is>
          <t>85937</t>
        </is>
      </c>
      <c r="B307" s="51" t="inlineStr">
        <is>
          <t>Navajo</t>
        </is>
      </c>
      <c r="C307" s="53" t="n">
        <v>8434</v>
      </c>
      <c r="D307" s="73" t="n">
        <v>1</v>
      </c>
      <c r="E307" s="70" t="n">
        <v>77.8181645719706</v>
      </c>
      <c r="F307" s="70" t="n">
        <v>68.0689859893039</v>
      </c>
      <c r="G307" s="51" t="n">
        <v>7</v>
      </c>
      <c r="H307" s="73" t="n">
        <v>1</v>
      </c>
      <c r="I307" s="51" t="inlineStr">
        <is>
          <t>LD7 (100%)</t>
        </is>
      </c>
    </row>
    <row r="308" ht="15" customHeight="1" s="44">
      <c r="A308" s="51" t="inlineStr">
        <is>
          <t>85938</t>
        </is>
      </c>
      <c r="B308" s="51" t="inlineStr">
        <is>
          <t>Apache</t>
        </is>
      </c>
      <c r="C308" s="53" t="n">
        <v>2100</v>
      </c>
      <c r="D308" s="73" t="n">
        <v>1</v>
      </c>
      <c r="E308" s="70" t="n">
        <v>77.2835238095238</v>
      </c>
      <c r="F308" s="70" t="n">
        <v>65.3553738087442</v>
      </c>
      <c r="G308" s="51" t="n">
        <v>6</v>
      </c>
      <c r="H308" s="73" t="n">
        <v>1</v>
      </c>
      <c r="I308" s="51" t="inlineStr">
        <is>
          <t>LD6 (100%)</t>
        </is>
      </c>
    </row>
    <row r="309" ht="15" customHeight="1" s="44">
      <c r="A309" s="51" t="inlineStr">
        <is>
          <t>85939</t>
        </is>
      </c>
      <c r="B309" s="51" t="inlineStr">
        <is>
          <t>Navajo</t>
        </is>
      </c>
      <c r="C309" s="53" t="n">
        <v>4213</v>
      </c>
      <c r="D309" s="73" t="n">
        <v>1</v>
      </c>
      <c r="E309" s="70" t="n">
        <v>78.710182767624</v>
      </c>
      <c r="F309" s="70" t="n">
        <v>68.9610041849574</v>
      </c>
      <c r="G309" s="51" t="n">
        <v>7</v>
      </c>
      <c r="H309" s="73" t="n">
        <v>1</v>
      </c>
      <c r="I309" s="51" t="inlineStr">
        <is>
          <t>LD7 (100%)</t>
        </is>
      </c>
    </row>
    <row r="310" ht="15" customHeight="1" s="44">
      <c r="A310" s="51" t="inlineStr">
        <is>
          <t>85940</t>
        </is>
      </c>
      <c r="B310" s="51" t="inlineStr">
        <is>
          <t>Apache</t>
        </is>
      </c>
      <c r="C310" s="53" t="n">
        <v>1580</v>
      </c>
      <c r="D310" s="73" t="n">
        <v>1</v>
      </c>
      <c r="E310" s="70" t="n">
        <v>77.9851265822785</v>
      </c>
      <c r="F310" s="70" t="n">
        <v>66.0569765814989</v>
      </c>
      <c r="G310" s="51" t="n">
        <v>6</v>
      </c>
      <c r="H310" s="73" t="n">
        <v>1</v>
      </c>
      <c r="I310" s="51" t="inlineStr">
        <is>
          <t>LD6 (100%)</t>
        </is>
      </c>
    </row>
    <row r="311" ht="15" customHeight="1" s="44">
      <c r="A311" s="51" t="inlineStr">
        <is>
          <t>85941</t>
        </is>
      </c>
      <c r="B311" s="51" t="inlineStr">
        <is>
          <t>Navajo</t>
        </is>
      </c>
      <c r="C311" s="53" t="n">
        <v>10575</v>
      </c>
      <c r="D311" s="73" t="n">
        <v>0.8274231678487</v>
      </c>
      <c r="E311" s="70" t="n">
        <v>74.9746285714286</v>
      </c>
      <c r="F311" s="70" t="n">
        <v>65.22544998876189</v>
      </c>
      <c r="G311" s="51" t="n">
        <v>6</v>
      </c>
      <c r="H311" s="73" t="n">
        <v>1</v>
      </c>
      <c r="I311" s="51" t="inlineStr">
        <is>
          <t>LD6 (100%)</t>
        </is>
      </c>
    </row>
    <row r="312" ht="15" customHeight="1" s="44">
      <c r="A312" s="51" t="inlineStr">
        <is>
          <t>85942</t>
        </is>
      </c>
      <c r="B312" s="51" t="inlineStr">
        <is>
          <t>Navajo</t>
        </is>
      </c>
      <c r="C312" s="53" t="n">
        <v>64</v>
      </c>
      <c r="D312" s="73" t="n">
        <v>1</v>
      </c>
      <c r="E312" s="70" t="n">
        <v>77.07656249999999</v>
      </c>
      <c r="F312" s="70" t="n">
        <v>67.32738391733329</v>
      </c>
      <c r="G312" s="51" t="n">
        <v>7</v>
      </c>
      <c r="H312" s="73" t="n">
        <v>1</v>
      </c>
      <c r="I312" s="51" t="inlineStr">
        <is>
          <t>LD7 (100%)</t>
        </is>
      </c>
    </row>
    <row r="313" ht="15" customHeight="1" s="44">
      <c r="A313" s="51" t="inlineStr">
        <is>
          <t>86001</t>
        </is>
      </c>
      <c r="B313" s="51" t="inlineStr">
        <is>
          <t>Coconino</t>
        </is>
      </c>
      <c r="C313" s="53" t="n">
        <v>37093</v>
      </c>
      <c r="D313" s="73" t="n">
        <v>0.811824333432184</v>
      </c>
      <c r="E313" s="70" t="n">
        <v>79.51724172284401</v>
      </c>
      <c r="F313" s="70" t="n">
        <v>76.48397947973569</v>
      </c>
      <c r="G313" s="51" t="n">
        <v>6</v>
      </c>
      <c r="H313" s="73" t="n">
        <v>0.552691882565444</v>
      </c>
      <c r="I313" s="51" t="inlineStr">
        <is>
          <t>LD6 (55%); LD7 (45%)</t>
        </is>
      </c>
    </row>
    <row r="314" ht="15" customHeight="1" s="44">
      <c r="A314" s="51" t="inlineStr">
        <is>
          <t>86003</t>
        </is>
      </c>
      <c r="B314" s="51" t="inlineStr">
        <is>
          <t>Coconino</t>
        </is>
      </c>
      <c r="C314" s="53" t="n">
        <v>113</v>
      </c>
      <c r="D314" s="73" t="n">
        <v>1</v>
      </c>
      <c r="E314" s="70" t="n">
        <v>75.5</v>
      </c>
      <c r="F314" s="70" t="n">
        <v>72.4667377568918</v>
      </c>
      <c r="G314" s="51" t="n">
        <v>6</v>
      </c>
      <c r="H314" s="73" t="n">
        <v>1</v>
      </c>
      <c r="I314" s="51" t="inlineStr">
        <is>
          <t>LD6 (100%)</t>
        </is>
      </c>
    </row>
    <row r="315" ht="15" customHeight="1" s="44">
      <c r="A315" s="51" t="inlineStr">
        <is>
          <t>86004</t>
        </is>
      </c>
      <c r="B315" s="51" t="inlineStr">
        <is>
          <t>Coconino</t>
        </is>
      </c>
      <c r="C315" s="53" t="n">
        <v>38451</v>
      </c>
      <c r="D315" s="73" t="n">
        <v>0.85675275025357</v>
      </c>
      <c r="E315" s="70" t="n">
        <v>78.0868439425675</v>
      </c>
      <c r="F315" s="70" t="n">
        <v>75.0535816994592</v>
      </c>
      <c r="G315" s="51" t="n">
        <v>6</v>
      </c>
      <c r="H315" s="73" t="n">
        <v>0.7430756027151439</v>
      </c>
      <c r="I315" s="51" t="inlineStr">
        <is>
          <t>LD6 (74%); LD7 (26%)</t>
        </is>
      </c>
    </row>
    <row r="316" ht="15" customHeight="1" s="44">
      <c r="A316" s="51" t="inlineStr">
        <is>
          <t>86005</t>
        </is>
      </c>
      <c r="B316" s="51" t="inlineStr">
        <is>
          <t>Coconino</t>
        </is>
      </c>
      <c r="C316" s="53" t="n">
        <v>16343</v>
      </c>
      <c r="D316" s="73" t="n">
        <v>0.483387382977422</v>
      </c>
      <c r="E316" s="70" t="n">
        <v>83.1278734177215</v>
      </c>
      <c r="F316" s="70" t="n">
        <v>80.09461117461331</v>
      </c>
      <c r="G316" s="51" t="n">
        <v>7</v>
      </c>
      <c r="H316" s="73" t="n">
        <v>1</v>
      </c>
      <c r="I316" s="51" t="inlineStr">
        <is>
          <t>LD7 (100%)</t>
        </is>
      </c>
    </row>
    <row r="317" ht="15" customHeight="1" s="44">
      <c r="A317" s="51" t="inlineStr">
        <is>
          <t>86011</t>
        </is>
      </c>
      <c r="B317" s="51" t="inlineStr">
        <is>
          <t>Coconino</t>
        </is>
      </c>
      <c r="C317" s="53" t="n">
        <v>3499</v>
      </c>
      <c r="D317" s="73" t="n">
        <v>0</v>
      </c>
      <c r="E317" s="70" t="n"/>
      <c r="F317" s="70" t="n"/>
      <c r="G317" s="51" t="n">
        <v>7</v>
      </c>
      <c r="H317" s="73" t="n">
        <v>1</v>
      </c>
      <c r="I317" s="51" t="inlineStr">
        <is>
          <t>LD7 (100%)</t>
        </is>
      </c>
    </row>
    <row r="318" ht="15" customHeight="1" s="44">
      <c r="A318" s="51" t="inlineStr">
        <is>
          <t>86015</t>
        </is>
      </c>
      <c r="B318" s="51" t="inlineStr">
        <is>
          <t>Coconino</t>
        </is>
      </c>
      <c r="C318" s="53" t="n">
        <v>1186</v>
      </c>
      <c r="D318" s="73" t="n">
        <v>1</v>
      </c>
      <c r="E318" s="70" t="n">
        <v>81.8</v>
      </c>
      <c r="F318" s="70" t="n">
        <v>78.7667377568917</v>
      </c>
      <c r="G318" s="51" t="n">
        <v>6</v>
      </c>
      <c r="H318" s="73" t="n">
        <v>1</v>
      </c>
      <c r="I318" s="51" t="inlineStr">
        <is>
          <t>LD6 (100%)</t>
        </is>
      </c>
    </row>
    <row r="319" ht="15" customHeight="1" s="44">
      <c r="A319" s="51" t="inlineStr">
        <is>
          <t>86016</t>
        </is>
      </c>
      <c r="B319" s="51" t="inlineStr">
        <is>
          <t>Coconino</t>
        </is>
      </c>
      <c r="C319" s="53" t="n">
        <v>59</v>
      </c>
      <c r="D319" s="73" t="n">
        <v>1</v>
      </c>
      <c r="E319" s="70" t="n">
        <v>75.09999999999999</v>
      </c>
      <c r="F319" s="70" t="n">
        <v>72.0667377568917</v>
      </c>
      <c r="G319" s="51" t="n">
        <v>6</v>
      </c>
      <c r="H319" s="73" t="n">
        <v>1</v>
      </c>
      <c r="I319" s="51" t="inlineStr">
        <is>
          <t>LD6 (100%)</t>
        </is>
      </c>
    </row>
    <row r="320" ht="15" customHeight="1" s="44">
      <c r="A320" s="51" t="inlineStr">
        <is>
          <t>86017</t>
        </is>
      </c>
      <c r="B320" s="51" t="inlineStr">
        <is>
          <t>Coconino</t>
        </is>
      </c>
      <c r="C320" s="53" t="n">
        <v>1131</v>
      </c>
      <c r="D320" s="73" t="n">
        <v>1</v>
      </c>
      <c r="E320" s="70" t="n">
        <v>85.09999999999999</v>
      </c>
      <c r="F320" s="70" t="n">
        <v>82.0667377568917</v>
      </c>
      <c r="G320" s="51" t="n">
        <v>7</v>
      </c>
      <c r="H320" s="73" t="n">
        <v>1</v>
      </c>
      <c r="I320" s="51" t="inlineStr">
        <is>
          <t>LD7 (100%)</t>
        </is>
      </c>
    </row>
    <row r="321" ht="15" customHeight="1" s="44">
      <c r="A321" s="51" t="inlineStr">
        <is>
          <t>86018</t>
        </is>
      </c>
      <c r="B321" s="51" t="inlineStr">
        <is>
          <t>Coconino</t>
        </is>
      </c>
      <c r="C321" s="53" t="n">
        <v>1121</v>
      </c>
      <c r="D321" s="73" t="n">
        <v>1</v>
      </c>
      <c r="E321" s="70" t="n">
        <v>78.8107047279215</v>
      </c>
      <c r="F321" s="70" t="n">
        <v>75.77744248481321</v>
      </c>
      <c r="G321" s="51" t="n">
        <v>6</v>
      </c>
      <c r="H321" s="73" t="n">
        <v>0.750223015165031</v>
      </c>
      <c r="I321" s="51" t="inlineStr">
        <is>
          <t>LD6 (75%); LD7 (25%)</t>
        </is>
      </c>
    </row>
    <row r="322" ht="15" customHeight="1" s="44">
      <c r="A322" s="51" t="inlineStr">
        <is>
          <t>86020</t>
        </is>
      </c>
      <c r="B322" s="51" t="inlineStr">
        <is>
          <t>Coconino</t>
        </is>
      </c>
      <c r="C322" s="53" t="n">
        <v>1852</v>
      </c>
      <c r="D322" s="73" t="n">
        <v>1</v>
      </c>
      <c r="E322" s="70" t="n">
        <v>75.26074514038881</v>
      </c>
      <c r="F322" s="70" t="n">
        <v>72.2274828972805</v>
      </c>
      <c r="G322" s="51" t="n">
        <v>6</v>
      </c>
      <c r="H322" s="73" t="n">
        <v>1</v>
      </c>
      <c r="I322" s="51" t="inlineStr">
        <is>
          <t>LD6 (100%)</t>
        </is>
      </c>
    </row>
    <row r="323" ht="15" customHeight="1" s="44">
      <c r="A323" s="51" t="inlineStr">
        <is>
          <t>86021</t>
        </is>
      </c>
      <c r="B323" s="51" t="inlineStr">
        <is>
          <t>Mohave</t>
        </is>
      </c>
      <c r="C323" s="53" t="n">
        <v>4133</v>
      </c>
      <c r="D323" s="73" t="n">
        <v>1</v>
      </c>
      <c r="E323" s="70" t="n">
        <v>76.09999999999999</v>
      </c>
      <c r="F323" s="70" t="n">
        <v>73.2242623926152</v>
      </c>
      <c r="G323" s="51" t="n">
        <v>30</v>
      </c>
      <c r="H323" s="73" t="n">
        <v>1</v>
      </c>
      <c r="I323" s="51" t="inlineStr">
        <is>
          <t>LD30 (100%)</t>
        </is>
      </c>
    </row>
    <row r="324" ht="15" customHeight="1" s="44">
      <c r="A324" s="51" t="inlineStr">
        <is>
          <t>86022</t>
        </is>
      </c>
      <c r="B324" s="51" t="inlineStr">
        <is>
          <t>Coconino</t>
        </is>
      </c>
      <c r="C324" s="53" t="n">
        <v>2058</v>
      </c>
      <c r="D324" s="73" t="n">
        <v>1</v>
      </c>
      <c r="E324" s="70" t="n">
        <v>77.48673469387749</v>
      </c>
      <c r="F324" s="70" t="n">
        <v>74.5069757162556</v>
      </c>
      <c r="G324" s="51" t="n">
        <v>6</v>
      </c>
      <c r="H324" s="73" t="n">
        <v>0.794460641399417</v>
      </c>
      <c r="I324" s="51" t="inlineStr">
        <is>
          <t>LD6 (79%); LD30 (21%)</t>
        </is>
      </c>
    </row>
    <row r="325" ht="15" customHeight="1" s="44">
      <c r="A325" s="51" t="inlineStr">
        <is>
          <t>86023</t>
        </is>
      </c>
      <c r="B325" s="51" t="inlineStr">
        <is>
          <t>Coconino</t>
        </is>
      </c>
      <c r="C325" s="53" t="n">
        <v>2420</v>
      </c>
      <c r="D325" s="73" t="n">
        <v>1</v>
      </c>
      <c r="E325" s="70" t="n">
        <v>78.84710743801649</v>
      </c>
      <c r="F325" s="70" t="n">
        <v>75.8138451949083</v>
      </c>
      <c r="G325" s="51" t="n">
        <v>6</v>
      </c>
      <c r="H325" s="73" t="n">
        <v>1</v>
      </c>
      <c r="I325" s="51" t="inlineStr">
        <is>
          <t>LD6 (100%)</t>
        </is>
      </c>
    </row>
    <row r="326" ht="15" customHeight="1" s="44">
      <c r="A326" s="51" t="inlineStr">
        <is>
          <t>86024</t>
        </is>
      </c>
      <c r="B326" s="51" t="inlineStr">
        <is>
          <t>Coconino</t>
        </is>
      </c>
      <c r="C326" s="53" t="n">
        <v>643</v>
      </c>
      <c r="D326" s="73" t="n">
        <v>1</v>
      </c>
      <c r="E326" s="70" t="n">
        <v>85.09999999999999</v>
      </c>
      <c r="F326" s="70" t="n">
        <v>82.0667377568917</v>
      </c>
      <c r="G326" s="51" t="n">
        <v>7</v>
      </c>
      <c r="H326" s="73" t="n">
        <v>1</v>
      </c>
      <c r="I326" s="51" t="inlineStr">
        <is>
          <t>LD7 (100%)</t>
        </is>
      </c>
    </row>
    <row r="327" ht="15" customHeight="1" s="44">
      <c r="A327" s="51" t="inlineStr">
        <is>
          <t>86025</t>
        </is>
      </c>
      <c r="B327" s="51" t="inlineStr">
        <is>
          <t>Navajo</t>
        </is>
      </c>
      <c r="C327" s="53" t="n">
        <v>5358</v>
      </c>
      <c r="D327" s="73" t="n">
        <v>1</v>
      </c>
      <c r="E327" s="70" t="n">
        <v>75.05630832400151</v>
      </c>
      <c r="F327" s="70" t="n">
        <v>65.3071297413349</v>
      </c>
      <c r="G327" s="51" t="n">
        <v>6</v>
      </c>
      <c r="H327" s="73" t="n">
        <v>0.948488241881299</v>
      </c>
      <c r="I327" s="51" t="inlineStr">
        <is>
          <t>LD6 (95%); LD7 (5%)</t>
        </is>
      </c>
    </row>
    <row r="328" ht="15" customHeight="1" s="44">
      <c r="A328" s="51" t="inlineStr">
        <is>
          <t>86028</t>
        </is>
      </c>
      <c r="B328" s="51" t="inlineStr">
        <is>
          <t>Apache</t>
        </is>
      </c>
      <c r="C328" s="53" t="n">
        <v>34</v>
      </c>
      <c r="D328" s="73" t="n">
        <v>1</v>
      </c>
      <c r="E328" s="70" t="n">
        <v>76.09999999999999</v>
      </c>
      <c r="F328" s="70" t="n">
        <v>64.1718499992204</v>
      </c>
      <c r="G328" s="51" t="n">
        <v>6</v>
      </c>
      <c r="H328" s="73" t="n">
        <v>1</v>
      </c>
      <c r="I328" s="51" t="inlineStr">
        <is>
          <t>LD6 (100%)</t>
        </is>
      </c>
    </row>
    <row r="329" ht="15" customHeight="1" s="44">
      <c r="A329" s="51" t="inlineStr">
        <is>
          <t>86029</t>
        </is>
      </c>
      <c r="B329" s="51" t="inlineStr">
        <is>
          <t>Navajo</t>
        </is>
      </c>
      <c r="C329" s="53" t="n">
        <v>178</v>
      </c>
      <c r="D329" s="73" t="n">
        <v>1</v>
      </c>
      <c r="E329" s="70" t="n">
        <v>74.6685393258427</v>
      </c>
      <c r="F329" s="70" t="n">
        <v>64.919360743176</v>
      </c>
      <c r="G329" s="51" t="n">
        <v>6</v>
      </c>
      <c r="H329" s="73" t="n">
        <v>1</v>
      </c>
      <c r="I329" s="51" t="inlineStr">
        <is>
          <t>LD6 (100%)</t>
        </is>
      </c>
    </row>
    <row r="330" ht="15" customHeight="1" s="44">
      <c r="A330" s="51" t="inlineStr">
        <is>
          <t>86030</t>
        </is>
      </c>
      <c r="B330" s="51" t="inlineStr">
        <is>
          <t>Navajo</t>
        </is>
      </c>
      <c r="C330" s="53" t="n">
        <v>1037</v>
      </c>
      <c r="D330" s="73" t="n">
        <v>1</v>
      </c>
      <c r="E330" s="70" t="n">
        <v>75.5</v>
      </c>
      <c r="F330" s="70" t="n">
        <v>65.8091080586603</v>
      </c>
      <c r="G330" s="51" t="n">
        <v>6</v>
      </c>
      <c r="H330" s="73" t="n">
        <v>1</v>
      </c>
      <c r="I330" s="51" t="inlineStr">
        <is>
          <t>LD6 (100%)</t>
        </is>
      </c>
    </row>
    <row r="331" ht="15" customHeight="1" s="44">
      <c r="A331" s="51" t="inlineStr">
        <is>
          <t>86031</t>
        </is>
      </c>
      <c r="B331" s="51" t="inlineStr">
        <is>
          <t>Navajo</t>
        </is>
      </c>
      <c r="C331" s="53" t="n">
        <v>1705</v>
      </c>
      <c r="D331" s="73" t="n">
        <v>1</v>
      </c>
      <c r="E331" s="70" t="n">
        <v>75.09999999999999</v>
      </c>
      <c r="F331" s="70" t="n">
        <v>65.35082141733329</v>
      </c>
      <c r="G331" s="51" t="n">
        <v>6</v>
      </c>
      <c r="H331" s="73" t="n">
        <v>1</v>
      </c>
      <c r="I331" s="51" t="inlineStr">
        <is>
          <t>LD6 (100%)</t>
        </is>
      </c>
    </row>
    <row r="332" ht="15" customHeight="1" s="44">
      <c r="A332" s="51" t="inlineStr">
        <is>
          <t>86032</t>
        </is>
      </c>
      <c r="B332" s="51" t="inlineStr">
        <is>
          <t>Navajo</t>
        </is>
      </c>
      <c r="C332" s="53" t="n">
        <v>1411</v>
      </c>
      <c r="D332" s="73" t="n">
        <v>1</v>
      </c>
      <c r="E332" s="70" t="n">
        <v>84.5944011339476</v>
      </c>
      <c r="F332" s="70" t="n">
        <v>74.8452225512809</v>
      </c>
      <c r="G332" s="51" t="n">
        <v>6</v>
      </c>
      <c r="H332" s="73" t="n">
        <v>0.999291282778172</v>
      </c>
      <c r="I332" s="51" t="inlineStr">
        <is>
          <t>LD6 (100%)</t>
        </is>
      </c>
    </row>
    <row r="333" ht="15" customHeight="1" s="44">
      <c r="A333" s="51" t="inlineStr">
        <is>
          <t>86033</t>
        </is>
      </c>
      <c r="B333" s="51" t="inlineStr">
        <is>
          <t>Navajo</t>
        </is>
      </c>
      <c r="C333" s="53" t="n">
        <v>7734</v>
      </c>
      <c r="D333" s="73" t="n">
        <v>1</v>
      </c>
      <c r="E333" s="70" t="n">
        <v>75.9161365399535</v>
      </c>
      <c r="F333" s="70" t="n">
        <v>66.14357359890781</v>
      </c>
      <c r="G333" s="51" t="n">
        <v>6</v>
      </c>
      <c r="H333" s="73" t="n">
        <v>1</v>
      </c>
      <c r="I333" s="51" t="inlineStr">
        <is>
          <t>LD6 (100%)</t>
        </is>
      </c>
    </row>
    <row r="334" ht="15" customHeight="1" s="44">
      <c r="A334" s="51" t="inlineStr">
        <is>
          <t>86034</t>
        </is>
      </c>
      <c r="B334" s="51" t="inlineStr">
        <is>
          <t>Navajo</t>
        </is>
      </c>
      <c r="C334" s="53" t="n">
        <v>2116</v>
      </c>
      <c r="D334" s="73" t="n">
        <v>1</v>
      </c>
      <c r="E334" s="70" t="n">
        <v>75.09999999999999</v>
      </c>
      <c r="F334" s="70" t="n">
        <v>65.1520778050007</v>
      </c>
      <c r="G334" s="51" t="n">
        <v>6</v>
      </c>
      <c r="H334" s="73" t="n">
        <v>1</v>
      </c>
      <c r="I334" s="51" t="inlineStr">
        <is>
          <t>LD6 (100%)</t>
        </is>
      </c>
    </row>
    <row r="335" ht="15" customHeight="1" s="44">
      <c r="A335" s="51" t="inlineStr">
        <is>
          <t>86035</t>
        </is>
      </c>
      <c r="B335" s="51" t="inlineStr">
        <is>
          <t>Coconino</t>
        </is>
      </c>
      <c r="C335" s="53" t="n">
        <v>1694</v>
      </c>
      <c r="D335" s="73" t="n">
        <v>1</v>
      </c>
      <c r="E335" s="70" t="n">
        <v>75.5</v>
      </c>
      <c r="F335" s="70" t="n">
        <v>72.4667377568918</v>
      </c>
      <c r="G335" s="51" t="n">
        <v>6</v>
      </c>
      <c r="H335" s="73" t="n">
        <v>1</v>
      </c>
      <c r="I335" s="51" t="inlineStr">
        <is>
          <t>LD6 (100%)</t>
        </is>
      </c>
    </row>
    <row r="336" ht="15" customHeight="1" s="44">
      <c r="A336" s="51" t="inlineStr">
        <is>
          <t>86036</t>
        </is>
      </c>
      <c r="B336" s="51" t="inlineStr">
        <is>
          <t>Coconino</t>
        </is>
      </c>
      <c r="C336" s="53" t="n">
        <v>195</v>
      </c>
      <c r="D336" s="73" t="n">
        <v>1</v>
      </c>
      <c r="E336" s="70" t="n">
        <v>76.03794871794869</v>
      </c>
      <c r="F336" s="70" t="n">
        <v>73.0046864748404</v>
      </c>
      <c r="G336" s="51" t="n">
        <v>6</v>
      </c>
      <c r="H336" s="73" t="n">
        <v>1</v>
      </c>
      <c r="I336" s="51" t="inlineStr">
        <is>
          <t>LD6 (100%)</t>
        </is>
      </c>
    </row>
    <row r="337" ht="15" customHeight="1" s="44">
      <c r="A337" s="51" t="inlineStr">
        <is>
          <t>86038</t>
        </is>
      </c>
      <c r="B337" s="51" t="inlineStr">
        <is>
          <t>Coconino</t>
        </is>
      </c>
      <c r="C337" s="53" t="n">
        <v>117</v>
      </c>
      <c r="D337" s="73" t="n">
        <v>1</v>
      </c>
      <c r="E337" s="70" t="n">
        <v>85.09999999999999</v>
      </c>
      <c r="F337" s="70" t="n">
        <v>82.0667377568917</v>
      </c>
      <c r="G337" s="51" t="n">
        <v>7</v>
      </c>
      <c r="H337" s="73" t="n">
        <v>1</v>
      </c>
      <c r="I337" s="51" t="inlineStr">
        <is>
          <t>LD7 (100%)</t>
        </is>
      </c>
    </row>
    <row r="338" ht="15" customHeight="1" s="44">
      <c r="A338" s="51" t="inlineStr">
        <is>
          <t>86039</t>
        </is>
      </c>
      <c r="B338" s="51" t="inlineStr">
        <is>
          <t>Navajo</t>
        </is>
      </c>
      <c r="C338" s="53" t="n">
        <v>1438</v>
      </c>
      <c r="D338" s="73" t="n">
        <v>1</v>
      </c>
      <c r="E338" s="70" t="n">
        <v>75.31140472879</v>
      </c>
      <c r="F338" s="70" t="n">
        <v>65.56222614612329</v>
      </c>
      <c r="G338" s="51" t="n">
        <v>6</v>
      </c>
      <c r="H338" s="73" t="n">
        <v>1</v>
      </c>
      <c r="I338" s="51" t="inlineStr">
        <is>
          <t>LD6 (100%)</t>
        </is>
      </c>
    </row>
    <row r="339" ht="15" customHeight="1" s="44">
      <c r="A339" s="51" t="inlineStr">
        <is>
          <t>86040</t>
        </is>
      </c>
      <c r="B339" s="51" t="inlineStr">
        <is>
          <t>Coconino</t>
        </is>
      </c>
      <c r="C339" s="53" t="n">
        <v>10179</v>
      </c>
      <c r="D339" s="73" t="n">
        <v>1</v>
      </c>
      <c r="E339" s="70" t="n">
        <v>78.68084291187741</v>
      </c>
      <c r="F339" s="70" t="n">
        <v>75.64758066876909</v>
      </c>
      <c r="G339" s="51" t="n">
        <v>6</v>
      </c>
      <c r="H339" s="73" t="n">
        <v>1</v>
      </c>
      <c r="I339" s="51" t="inlineStr">
        <is>
          <t>LD6 (100%)</t>
        </is>
      </c>
    </row>
    <row r="340" ht="15" customHeight="1" s="44">
      <c r="A340" s="51" t="inlineStr">
        <is>
          <t>86042</t>
        </is>
      </c>
      <c r="B340" s="51" t="inlineStr">
        <is>
          <t>Navajo</t>
        </is>
      </c>
      <c r="C340" s="53" t="n">
        <v>1493</v>
      </c>
      <c r="D340" s="73" t="n">
        <v>1</v>
      </c>
      <c r="E340" s="70" t="n">
        <v>75.09999999999999</v>
      </c>
      <c r="F340" s="70" t="n">
        <v>65.35082141733329</v>
      </c>
      <c r="G340" s="51" t="n">
        <v>6</v>
      </c>
      <c r="H340" s="73" t="n">
        <v>1</v>
      </c>
      <c r="I340" s="51" t="inlineStr">
        <is>
          <t>LD6 (100%)</t>
        </is>
      </c>
    </row>
    <row r="341" ht="15" customHeight="1" s="44">
      <c r="A341" s="51" t="inlineStr">
        <is>
          <t>86043</t>
        </is>
      </c>
      <c r="B341" s="51" t="inlineStr">
        <is>
          <t>Navajo</t>
        </is>
      </c>
      <c r="C341" s="53" t="n">
        <v>1559</v>
      </c>
      <c r="D341" s="73" t="n">
        <v>1</v>
      </c>
      <c r="E341" s="70" t="n">
        <v>75.30064143681849</v>
      </c>
      <c r="F341" s="70" t="n">
        <v>65.55146285415179</v>
      </c>
      <c r="G341" s="51" t="n">
        <v>6</v>
      </c>
      <c r="H341" s="73" t="n">
        <v>1</v>
      </c>
      <c r="I341" s="51" t="inlineStr">
        <is>
          <t>LD6 (100%)</t>
        </is>
      </c>
    </row>
    <row r="342" ht="15" customHeight="1" s="44">
      <c r="A342" s="51" t="inlineStr">
        <is>
          <t>86044</t>
        </is>
      </c>
      <c r="B342" s="51" t="inlineStr">
        <is>
          <t>Coconino</t>
        </is>
      </c>
      <c r="C342" s="53" t="n">
        <v>3583</v>
      </c>
      <c r="D342" s="73" t="n">
        <v>1</v>
      </c>
      <c r="E342" s="70" t="n">
        <v>75.1357242534189</v>
      </c>
      <c r="F342" s="70" t="n">
        <v>71.5101568014632</v>
      </c>
      <c r="G342" s="51" t="n">
        <v>6</v>
      </c>
      <c r="H342" s="73" t="n">
        <v>1</v>
      </c>
      <c r="I342" s="51" t="inlineStr">
        <is>
          <t>LD6 (100%)</t>
        </is>
      </c>
    </row>
    <row r="343" ht="15" customHeight="1" s="44">
      <c r="A343" s="51" t="inlineStr">
        <is>
          <t>86045</t>
        </is>
      </c>
      <c r="B343" s="51" t="inlineStr">
        <is>
          <t>Coconino</t>
        </is>
      </c>
      <c r="C343" s="53" t="n">
        <v>10445</v>
      </c>
      <c r="D343" s="73" t="n">
        <v>1</v>
      </c>
      <c r="E343" s="70" t="n">
        <v>76.7254284346577</v>
      </c>
      <c r="F343" s="70" t="n">
        <v>73.6921661915495</v>
      </c>
      <c r="G343" s="51" t="n">
        <v>6</v>
      </c>
      <c r="H343" s="73" t="n">
        <v>1</v>
      </c>
      <c r="I343" s="51" t="inlineStr">
        <is>
          <t>LD6 (100%)</t>
        </is>
      </c>
    </row>
    <row r="344" ht="15" customHeight="1" s="44">
      <c r="A344" s="51" t="inlineStr">
        <is>
          <t>86046</t>
        </is>
      </c>
      <c r="B344" s="51" t="inlineStr">
        <is>
          <t>Coconino</t>
        </is>
      </c>
      <c r="C344" s="53" t="n">
        <v>6310</v>
      </c>
      <c r="D344" s="73" t="n">
        <v>1</v>
      </c>
      <c r="E344" s="70" t="n">
        <v>78.6284152139461</v>
      </c>
      <c r="F344" s="70" t="n">
        <v>75.5951529708379</v>
      </c>
      <c r="G344" s="51" t="n">
        <v>7</v>
      </c>
      <c r="H344" s="73" t="n">
        <v>0.861172741679873</v>
      </c>
      <c r="I344" s="51" t="inlineStr">
        <is>
          <t>LD7 (86%); LD6 (14%)</t>
        </is>
      </c>
    </row>
    <row r="345" ht="15" customHeight="1" s="44">
      <c r="A345" s="51" t="inlineStr">
        <is>
          <t>86047</t>
        </is>
      </c>
      <c r="B345" s="51" t="inlineStr">
        <is>
          <t>Navajo</t>
        </is>
      </c>
      <c r="C345" s="53" t="n">
        <v>14168</v>
      </c>
      <c r="D345" s="73" t="n">
        <v>1</v>
      </c>
      <c r="E345" s="70" t="n">
        <v>75.2075028232637</v>
      </c>
      <c r="F345" s="70" t="n">
        <v>65.82331969383389</v>
      </c>
      <c r="G345" s="51" t="n">
        <v>6</v>
      </c>
      <c r="H345" s="73" t="n">
        <v>0.983201581027668</v>
      </c>
      <c r="I345" s="51" t="inlineStr">
        <is>
          <t>LD6 (98%)</t>
        </is>
      </c>
    </row>
    <row r="346" ht="15" customHeight="1" s="44">
      <c r="A346" s="51" t="inlineStr">
        <is>
          <t>86052</t>
        </is>
      </c>
      <c r="B346" s="51" t="inlineStr">
        <is>
          <t>Coconino</t>
        </is>
      </c>
      <c r="C346" s="53" t="n">
        <v>40</v>
      </c>
      <c r="D346" s="73" t="n">
        <v>1</v>
      </c>
      <c r="E346" s="70" t="n">
        <v>78.2</v>
      </c>
      <c r="F346" s="70" t="n">
        <v>75.16673775689181</v>
      </c>
      <c r="G346" s="51" t="n">
        <v>6</v>
      </c>
      <c r="H346" s="73" t="n">
        <v>1</v>
      </c>
      <c r="I346" s="51" t="inlineStr">
        <is>
          <t>LD6 (100%)</t>
        </is>
      </c>
    </row>
    <row r="347" ht="15" customHeight="1" s="44">
      <c r="A347" s="51" t="inlineStr">
        <is>
          <t>86053</t>
        </is>
      </c>
      <c r="B347" s="51" t="inlineStr">
        <is>
          <t>Coconino</t>
        </is>
      </c>
      <c r="C347" s="53" t="n">
        <v>2025</v>
      </c>
      <c r="D347" s="73" t="n">
        <v>1</v>
      </c>
      <c r="E347" s="70" t="n">
        <v>75.09999999999999</v>
      </c>
      <c r="F347" s="70" t="n">
        <v>72.0667377568918</v>
      </c>
      <c r="G347" s="51" t="n">
        <v>6</v>
      </c>
      <c r="H347" s="73" t="n">
        <v>1</v>
      </c>
      <c r="I347" s="51" t="inlineStr">
        <is>
          <t>LD6 (100%)</t>
        </is>
      </c>
    </row>
    <row r="348" ht="15" customHeight="1" s="44">
      <c r="A348" s="51" t="inlineStr">
        <is>
          <t>86054</t>
        </is>
      </c>
      <c r="B348" s="51" t="inlineStr">
        <is>
          <t>Navajo</t>
        </is>
      </c>
      <c r="C348" s="53" t="n">
        <v>1841</v>
      </c>
      <c r="D348" s="73" t="n">
        <v>1</v>
      </c>
      <c r="E348" s="70" t="n">
        <v>75.48457360130359</v>
      </c>
      <c r="F348" s="70" t="n">
        <v>65.99440102630059</v>
      </c>
      <c r="G348" s="51" t="n">
        <v>6</v>
      </c>
      <c r="H348" s="73" t="n">
        <v>1</v>
      </c>
      <c r="I348" s="51" t="inlineStr">
        <is>
          <t>LD6 (100%)</t>
        </is>
      </c>
    </row>
    <row r="349" ht="15" customHeight="1" s="44">
      <c r="A349" s="51" t="inlineStr">
        <is>
          <t>86301</t>
        </is>
      </c>
      <c r="B349" s="51" t="inlineStr">
        <is>
          <t>Yavapai</t>
        </is>
      </c>
      <c r="C349" s="53" t="n">
        <v>25115</v>
      </c>
      <c r="D349" s="73" t="n">
        <v>0.999163846306988</v>
      </c>
      <c r="E349" s="70" t="n">
        <v>79.3341396349725</v>
      </c>
      <c r="F349" s="70" t="n">
        <v>76.9127944172857</v>
      </c>
      <c r="G349" s="51" t="n">
        <v>1</v>
      </c>
      <c r="H349" s="73" t="n">
        <v>1</v>
      </c>
      <c r="I349" s="51" t="inlineStr">
        <is>
          <t>LD1 (100%)</t>
        </is>
      </c>
    </row>
    <row r="350" ht="15" customHeight="1" s="44">
      <c r="A350" s="51" t="inlineStr">
        <is>
          <t>86303</t>
        </is>
      </c>
      <c r="B350" s="51" t="inlineStr">
        <is>
          <t>Yavapai</t>
        </is>
      </c>
      <c r="C350" s="53" t="n">
        <v>18201</v>
      </c>
      <c r="D350" s="73" t="n">
        <v>0.791549914839844</v>
      </c>
      <c r="E350" s="70" t="n">
        <v>79.8272367599084</v>
      </c>
      <c r="F350" s="70" t="n">
        <v>77.4058915422216</v>
      </c>
      <c r="G350" s="51" t="n">
        <v>1</v>
      </c>
      <c r="H350" s="73" t="n">
        <v>1</v>
      </c>
      <c r="I350" s="51" t="inlineStr">
        <is>
          <t>LD1 (100%)</t>
        </is>
      </c>
    </row>
    <row r="351" ht="15" customHeight="1" s="44">
      <c r="A351" s="51" t="inlineStr">
        <is>
          <t>86305</t>
        </is>
      </c>
      <c r="B351" s="51" t="inlineStr">
        <is>
          <t>Yavapai</t>
        </is>
      </c>
      <c r="C351" s="53" t="n">
        <v>19555</v>
      </c>
      <c r="D351" s="73" t="n">
        <v>1</v>
      </c>
      <c r="E351" s="70" t="n">
        <v>80.5742674507799</v>
      </c>
      <c r="F351" s="70" t="n">
        <v>78.15292223309309</v>
      </c>
      <c r="G351" s="51" t="n">
        <v>1</v>
      </c>
      <c r="H351" s="73" t="n">
        <v>1</v>
      </c>
      <c r="I351" s="51" t="inlineStr">
        <is>
          <t>LD1 (100%)</t>
        </is>
      </c>
    </row>
    <row r="352" ht="15" customHeight="1" s="44">
      <c r="A352" s="51" t="inlineStr">
        <is>
          <t>86313</t>
        </is>
      </c>
      <c r="B352" s="51" t="inlineStr">
        <is>
          <t>Yavapai</t>
        </is>
      </c>
      <c r="C352" s="53" t="n">
        <v>92</v>
      </c>
      <c r="D352" s="73" t="n">
        <v>1</v>
      </c>
      <c r="E352" s="70" t="n">
        <v>71.3</v>
      </c>
      <c r="F352" s="70" t="n">
        <v>68.87865478231321</v>
      </c>
      <c r="G352" s="51" t="n">
        <v>1</v>
      </c>
      <c r="H352" s="73" t="n">
        <v>1</v>
      </c>
      <c r="I352" s="51" t="inlineStr">
        <is>
          <t>LD1 (100%)</t>
        </is>
      </c>
    </row>
    <row r="353" ht="15" customHeight="1" s="44">
      <c r="A353" s="51" t="inlineStr">
        <is>
          <t>86314</t>
        </is>
      </c>
      <c r="B353" s="51" t="inlineStr">
        <is>
          <t>Yavapai</t>
        </is>
      </c>
      <c r="C353" s="53" t="n">
        <v>39461</v>
      </c>
      <c r="D353" s="73" t="n">
        <v>1</v>
      </c>
      <c r="E353" s="70" t="n">
        <v>76.6788525379489</v>
      </c>
      <c r="F353" s="70" t="n">
        <v>74.25750732026211</v>
      </c>
      <c r="G353" s="51" t="n">
        <v>1</v>
      </c>
      <c r="H353" s="73" t="n">
        <v>1</v>
      </c>
      <c r="I353" s="51" t="inlineStr">
        <is>
          <t>LD1 (100%)</t>
        </is>
      </c>
    </row>
    <row r="354" ht="15" customHeight="1" s="44">
      <c r="A354" s="51" t="inlineStr">
        <is>
          <t>86315</t>
        </is>
      </c>
      <c r="B354" s="51" t="inlineStr">
        <is>
          <t>Yavapai</t>
        </is>
      </c>
      <c r="C354" s="53" t="n">
        <v>10354</v>
      </c>
      <c r="D354" s="73" t="n">
        <v>1</v>
      </c>
      <c r="E354" s="70" t="n">
        <v>78.8225999613676</v>
      </c>
      <c r="F354" s="70" t="n">
        <v>76.40125474368079</v>
      </c>
      <c r="G354" s="51" t="n">
        <v>1</v>
      </c>
      <c r="H354" s="73" t="n">
        <v>1</v>
      </c>
      <c r="I354" s="51" t="inlineStr">
        <is>
          <t>LD1 (100%)</t>
        </is>
      </c>
    </row>
    <row r="355" ht="15" customHeight="1" s="44">
      <c r="A355" s="51" t="inlineStr">
        <is>
          <t>86320</t>
        </is>
      </c>
      <c r="B355" s="51" t="inlineStr">
        <is>
          <t>Coconino</t>
        </is>
      </c>
      <c r="C355" s="53" t="n">
        <v>2111</v>
      </c>
      <c r="D355" s="73" t="n">
        <v>1</v>
      </c>
      <c r="E355" s="70" t="n">
        <v>78.1553765987684</v>
      </c>
      <c r="F355" s="70" t="n">
        <v>75.40386866580209</v>
      </c>
      <c r="G355" s="51" t="n">
        <v>6</v>
      </c>
      <c r="H355" s="73" t="n">
        <v>0.539081004263382</v>
      </c>
      <c r="I355" s="51" t="inlineStr">
        <is>
          <t>LD6 (54%); LD1 (46%)</t>
        </is>
      </c>
    </row>
    <row r="356" ht="15" customHeight="1" s="44">
      <c r="A356" s="51" t="inlineStr">
        <is>
          <t>86321</t>
        </is>
      </c>
      <c r="B356" s="51" t="inlineStr">
        <is>
          <t>Yavapai</t>
        </is>
      </c>
      <c r="C356" s="53" t="n">
        <v>2234</v>
      </c>
      <c r="D356" s="73" t="n">
        <v>0.0192479856759176</v>
      </c>
      <c r="E356" s="70" t="n">
        <v>82.8186046511628</v>
      </c>
      <c r="F356" s="70" t="n">
        <v>80.39725943347599</v>
      </c>
      <c r="G356" s="51" t="n">
        <v>1</v>
      </c>
      <c r="H356" s="73" t="n">
        <v>1</v>
      </c>
      <c r="I356" s="51" t="inlineStr">
        <is>
          <t>LD1 (100%)</t>
        </is>
      </c>
    </row>
    <row r="357" ht="15" customHeight="1" s="44">
      <c r="A357" s="51" t="inlineStr">
        <is>
          <t>86322</t>
        </is>
      </c>
      <c r="B357" s="51" t="inlineStr">
        <is>
          <t>Yavapai</t>
        </is>
      </c>
      <c r="C357" s="53" t="n">
        <v>12696</v>
      </c>
      <c r="D357" s="73" t="n">
        <v>0.636263390044108</v>
      </c>
      <c r="E357" s="70" t="n">
        <v>77.8051869274573</v>
      </c>
      <c r="F357" s="70" t="n">
        <v>75.38384170977049</v>
      </c>
      <c r="G357" s="51" t="n">
        <v>1</v>
      </c>
      <c r="H357" s="73" t="n">
        <v>1</v>
      </c>
      <c r="I357" s="51" t="inlineStr">
        <is>
          <t>LD1 (100%)</t>
        </is>
      </c>
    </row>
    <row r="358" ht="15" customHeight="1" s="44">
      <c r="A358" s="51" t="inlineStr">
        <is>
          <t>86323</t>
        </is>
      </c>
      <c r="B358" s="51" t="inlineStr">
        <is>
          <t>Yavapai</t>
        </is>
      </c>
      <c r="C358" s="53" t="n">
        <v>18422</v>
      </c>
      <c r="D358" s="73" t="n">
        <v>1</v>
      </c>
      <c r="E358" s="70" t="n">
        <v>78.0377700575399</v>
      </c>
      <c r="F358" s="70" t="n">
        <v>75.6164248398531</v>
      </c>
      <c r="G358" s="51" t="n">
        <v>1</v>
      </c>
      <c r="H358" s="73" t="n">
        <v>1</v>
      </c>
      <c r="I358" s="51" t="inlineStr">
        <is>
          <t>LD1 (100%)</t>
        </is>
      </c>
    </row>
    <row r="359" ht="15" customHeight="1" s="44">
      <c r="A359" s="51" t="inlineStr">
        <is>
          <t>86324</t>
        </is>
      </c>
      <c r="B359" s="51" t="inlineStr">
        <is>
          <t>Yavapai</t>
        </is>
      </c>
      <c r="C359" s="53" t="n">
        <v>4544</v>
      </c>
      <c r="D359" s="73" t="n">
        <v>1</v>
      </c>
      <c r="E359" s="70" t="n">
        <v>78.9639084507042</v>
      </c>
      <c r="F359" s="70" t="n">
        <v>76.5425632330175</v>
      </c>
      <c r="G359" s="51" t="n">
        <v>1</v>
      </c>
      <c r="H359" s="73" t="n">
        <v>1</v>
      </c>
      <c r="I359" s="51" t="inlineStr">
        <is>
          <t>LD1 (100%)</t>
        </is>
      </c>
    </row>
    <row r="360" ht="15" customHeight="1" s="44">
      <c r="A360" s="51" t="inlineStr">
        <is>
          <t>86325</t>
        </is>
      </c>
      <c r="B360" s="51" t="inlineStr">
        <is>
          <t>Yavapai</t>
        </is>
      </c>
      <c r="C360" s="53" t="n">
        <v>5472</v>
      </c>
      <c r="D360" s="73" t="n">
        <v>1</v>
      </c>
      <c r="E360" s="70" t="n">
        <v>82.7376096491228</v>
      </c>
      <c r="F360" s="70" t="n">
        <v>80.316264431436</v>
      </c>
      <c r="G360" s="51" t="n">
        <v>1</v>
      </c>
      <c r="H360" s="73" t="n">
        <v>1</v>
      </c>
      <c r="I360" s="51" t="inlineStr">
        <is>
          <t>LD1 (100%)</t>
        </is>
      </c>
    </row>
    <row r="361" ht="15" customHeight="1" s="44">
      <c r="A361" s="51" t="inlineStr">
        <is>
          <t>86326</t>
        </is>
      </c>
      <c r="B361" s="51" t="inlineStr">
        <is>
          <t>Yavapai</t>
        </is>
      </c>
      <c r="C361" s="53" t="n">
        <v>24465</v>
      </c>
      <c r="D361" s="73" t="n">
        <v>1</v>
      </c>
      <c r="E361" s="70" t="n">
        <v>76.297903126916</v>
      </c>
      <c r="F361" s="70" t="n">
        <v>73.87655790922921</v>
      </c>
      <c r="G361" s="51" t="n">
        <v>1</v>
      </c>
      <c r="H361" s="73" t="n">
        <v>1</v>
      </c>
      <c r="I361" s="51" t="inlineStr">
        <is>
          <t>LD1 (100%)</t>
        </is>
      </c>
    </row>
    <row r="362" ht="15" customHeight="1" s="44">
      <c r="A362" s="51" t="inlineStr">
        <is>
          <t>86327</t>
        </is>
      </c>
      <c r="B362" s="51" t="inlineStr">
        <is>
          <t>Yavapai</t>
        </is>
      </c>
      <c r="C362" s="53" t="n">
        <v>11530</v>
      </c>
      <c r="D362" s="73" t="n">
        <v>0.881960104076323</v>
      </c>
      <c r="E362" s="70" t="n">
        <v>79.6991149572229</v>
      </c>
      <c r="F362" s="70" t="n">
        <v>77.2777697395362</v>
      </c>
      <c r="G362" s="51" t="n">
        <v>1</v>
      </c>
      <c r="H362" s="73" t="n">
        <v>1</v>
      </c>
      <c r="I362" s="51" t="inlineStr">
        <is>
          <t>LD1 (100%)</t>
        </is>
      </c>
    </row>
    <row r="363" ht="15" customHeight="1" s="44">
      <c r="A363" s="51" t="inlineStr">
        <is>
          <t>86329</t>
        </is>
      </c>
      <c r="B363" s="51" t="inlineStr">
        <is>
          <t>Yavapai</t>
        </is>
      </c>
      <c r="C363" s="53" t="n">
        <v>1288</v>
      </c>
      <c r="D363" s="73" t="n">
        <v>0.765527950310559</v>
      </c>
      <c r="E363" s="70" t="n">
        <v>80.09999999999999</v>
      </c>
      <c r="F363" s="70" t="n">
        <v>77.6786547823133</v>
      </c>
      <c r="G363" s="51" t="n">
        <v>1</v>
      </c>
      <c r="H363" s="73" t="n">
        <v>1</v>
      </c>
      <c r="I363" s="51" t="inlineStr">
        <is>
          <t>LD1 (100%)</t>
        </is>
      </c>
    </row>
    <row r="364" ht="15" customHeight="1" s="44">
      <c r="A364" s="51" t="inlineStr">
        <is>
          <t>86331</t>
        </is>
      </c>
      <c r="B364" s="51" t="inlineStr">
        <is>
          <t>Yavapai</t>
        </is>
      </c>
      <c r="C364" s="53" t="n">
        <v>515</v>
      </c>
      <c r="D364" s="73" t="n">
        <v>1</v>
      </c>
      <c r="E364" s="70" t="n">
        <v>78.8</v>
      </c>
      <c r="F364" s="70" t="n">
        <v>76.37865478231321</v>
      </c>
      <c r="G364" s="51" t="n">
        <v>1</v>
      </c>
      <c r="H364" s="73" t="n">
        <v>1</v>
      </c>
      <c r="I364" s="51" t="inlineStr">
        <is>
          <t>LD1 (100%)</t>
        </is>
      </c>
    </row>
    <row r="365" ht="15" customHeight="1" s="44">
      <c r="A365" s="51" t="inlineStr">
        <is>
          <t>86332</t>
        </is>
      </c>
      <c r="B365" s="51" t="inlineStr">
        <is>
          <t>Yavapai</t>
        </is>
      </c>
      <c r="C365" s="53" t="n">
        <v>1716</v>
      </c>
      <c r="D365" s="73" t="n">
        <v>1</v>
      </c>
      <c r="E365" s="70" t="n">
        <v>86.0945221445221</v>
      </c>
      <c r="F365" s="70" t="n">
        <v>83.6731769268354</v>
      </c>
      <c r="G365" s="51" t="n">
        <v>1</v>
      </c>
      <c r="H365" s="73" t="n">
        <v>1</v>
      </c>
      <c r="I365" s="51" t="inlineStr">
        <is>
          <t>LD1 (100%)</t>
        </is>
      </c>
    </row>
    <row r="366" ht="15" customHeight="1" s="44">
      <c r="A366" s="51" t="inlineStr">
        <is>
          <t>86333</t>
        </is>
      </c>
      <c r="B366" s="51" t="inlineStr">
        <is>
          <t>Yavapai</t>
        </is>
      </c>
      <c r="C366" s="53" t="n">
        <v>5886</v>
      </c>
      <c r="D366" s="73" t="n">
        <v>0.241250424736663</v>
      </c>
      <c r="E366" s="70" t="n">
        <v>75.207323943662</v>
      </c>
      <c r="F366" s="70" t="n">
        <v>72.7859787259752</v>
      </c>
      <c r="G366" s="51" t="n">
        <v>1</v>
      </c>
      <c r="H366" s="73" t="n">
        <v>1</v>
      </c>
      <c r="I366" s="51" t="inlineStr">
        <is>
          <t>LD1 (100%)</t>
        </is>
      </c>
    </row>
    <row r="367" ht="15" customHeight="1" s="44">
      <c r="A367" s="51" t="inlineStr">
        <is>
          <t>86334</t>
        </is>
      </c>
      <c r="B367" s="51" t="inlineStr">
        <is>
          <t>Yavapai</t>
        </is>
      </c>
      <c r="C367" s="53" t="n">
        <v>5261</v>
      </c>
      <c r="D367" s="73" t="n">
        <v>1</v>
      </c>
      <c r="E367" s="70" t="n">
        <v>78.41015016156631</v>
      </c>
      <c r="F367" s="70" t="n">
        <v>75.9888049438795</v>
      </c>
      <c r="G367" s="51" t="n">
        <v>1</v>
      </c>
      <c r="H367" s="73" t="n">
        <v>1</v>
      </c>
      <c r="I367" s="51" t="inlineStr">
        <is>
          <t>LD1 (100%)</t>
        </is>
      </c>
    </row>
    <row r="368" ht="15" customHeight="1" s="44">
      <c r="A368" s="51" t="inlineStr">
        <is>
          <t>86335</t>
        </is>
      </c>
      <c r="B368" s="51" t="inlineStr">
        <is>
          <t>Yavapai</t>
        </is>
      </c>
      <c r="C368" s="53" t="n">
        <v>5229</v>
      </c>
      <c r="D368" s="73" t="n">
        <v>0.989290495314592</v>
      </c>
      <c r="E368" s="70" t="n">
        <v>78.90000000000001</v>
      </c>
      <c r="F368" s="70" t="n">
        <v>76.4786547823133</v>
      </c>
      <c r="G368" s="51" t="n">
        <v>1</v>
      </c>
      <c r="H368" s="73" t="n">
        <v>1</v>
      </c>
      <c r="I368" s="51" t="inlineStr">
        <is>
          <t>LD1 (100%)</t>
        </is>
      </c>
    </row>
    <row r="369" ht="15" customHeight="1" s="44">
      <c r="A369" s="51" t="inlineStr">
        <is>
          <t>86336</t>
        </is>
      </c>
      <c r="B369" s="51" t="inlineStr">
        <is>
          <t>Yavapai</t>
        </is>
      </c>
      <c r="C369" s="53" t="n">
        <v>11125</v>
      </c>
      <c r="D369" s="73" t="n">
        <v>1</v>
      </c>
      <c r="E369" s="70" t="n">
        <v>82.5642696629214</v>
      </c>
      <c r="F369" s="70" t="n">
        <v>79.977363074761</v>
      </c>
      <c r="G369" s="51" t="n">
        <v>1</v>
      </c>
      <c r="H369" s="73" t="n">
        <v>0.95838202247191</v>
      </c>
      <c r="I369" s="51" t="inlineStr">
        <is>
          <t>LD1 (96%); LD7 (4%)</t>
        </is>
      </c>
    </row>
    <row r="370" ht="15" customHeight="1" s="44">
      <c r="A370" s="51" t="inlineStr">
        <is>
          <t>86337</t>
        </is>
      </c>
      <c r="B370" s="51" t="inlineStr">
        <is>
          <t>Yavapai</t>
        </is>
      </c>
      <c r="C370" s="53" t="n">
        <v>1312</v>
      </c>
      <c r="D370" s="73" t="n">
        <v>1</v>
      </c>
      <c r="E370" s="70" t="n">
        <v>77.4309451219512</v>
      </c>
      <c r="F370" s="70" t="n">
        <v>74.9960742992818</v>
      </c>
      <c r="G370" s="51" t="n">
        <v>1</v>
      </c>
      <c r="H370" s="73" t="n">
        <v>0.977896341463415</v>
      </c>
      <c r="I370" s="51" t="inlineStr">
        <is>
          <t>LD1 (98%); LD6 (2%)</t>
        </is>
      </c>
    </row>
    <row r="371" ht="15" customHeight="1" s="44">
      <c r="A371" s="51" t="inlineStr">
        <is>
          <t>86338</t>
        </is>
      </c>
      <c r="B371" s="51" t="inlineStr">
        <is>
          <t>Yavapai</t>
        </is>
      </c>
      <c r="C371" s="53" t="n">
        <v>587</v>
      </c>
      <c r="D371" s="73" t="n">
        <v>1</v>
      </c>
      <c r="E371" s="70" t="n">
        <v>83.0705281090289</v>
      </c>
      <c r="F371" s="70" t="n">
        <v>80.64918289134221</v>
      </c>
      <c r="G371" s="51" t="n">
        <v>1</v>
      </c>
      <c r="H371" s="73" t="n">
        <v>1</v>
      </c>
      <c r="I371" s="51" t="inlineStr">
        <is>
          <t>LD1 (100%)</t>
        </is>
      </c>
    </row>
    <row r="372" ht="15" customHeight="1" s="44">
      <c r="A372" s="51" t="inlineStr">
        <is>
          <t>86343</t>
        </is>
      </c>
      <c r="B372" s="51" t="inlineStr">
        <is>
          <t>Yavapai</t>
        </is>
      </c>
      <c r="C372" s="53" t="n">
        <v>88</v>
      </c>
      <c r="D372" s="73" t="n">
        <v>1</v>
      </c>
      <c r="E372" s="70" t="n">
        <v>80.2</v>
      </c>
      <c r="F372" s="70" t="n">
        <v>77.7786547823133</v>
      </c>
      <c r="G372" s="51" t="n">
        <v>1</v>
      </c>
      <c r="H372" s="73" t="n">
        <v>1</v>
      </c>
      <c r="I372" s="51" t="inlineStr">
        <is>
          <t>LD1 (100%)</t>
        </is>
      </c>
    </row>
    <row r="373" ht="15" customHeight="1" s="44">
      <c r="A373" s="51" t="inlineStr">
        <is>
          <t>86351</t>
        </is>
      </c>
      <c r="B373" s="51" t="inlineStr">
        <is>
          <t>Yavapai</t>
        </is>
      </c>
      <c r="C373" s="53" t="n">
        <v>6398</v>
      </c>
      <c r="D373" s="73" t="n">
        <v>1</v>
      </c>
      <c r="E373" s="70" t="n">
        <v>83.07691466083151</v>
      </c>
      <c r="F373" s="70" t="n">
        <v>80.6555694431448</v>
      </c>
      <c r="G373" s="51" t="n">
        <v>1</v>
      </c>
      <c r="H373" s="73" t="n">
        <v>1</v>
      </c>
      <c r="I373" s="51" t="inlineStr">
        <is>
          <t>LD1 (100%)</t>
        </is>
      </c>
    </row>
    <row r="374" ht="15" customHeight="1" s="44">
      <c r="A374" s="51" t="inlineStr">
        <is>
          <t>86401</t>
        </is>
      </c>
      <c r="B374" s="51" t="inlineStr">
        <is>
          <t>Mohave</t>
        </is>
      </c>
      <c r="C374" s="53" t="n">
        <v>27684</v>
      </c>
      <c r="D374" s="73" t="n">
        <v>1</v>
      </c>
      <c r="E374" s="70" t="n">
        <v>76.6340991186245</v>
      </c>
      <c r="F374" s="70" t="n">
        <v>73.7583615112397</v>
      </c>
      <c r="G374" s="51" t="n">
        <v>30</v>
      </c>
      <c r="H374" s="73" t="n">
        <v>1</v>
      </c>
      <c r="I374" s="51" t="inlineStr">
        <is>
          <t>LD30 (100%)</t>
        </is>
      </c>
    </row>
    <row r="375" ht="15" customHeight="1" s="44">
      <c r="A375" s="51" t="inlineStr">
        <is>
          <t>86403</t>
        </is>
      </c>
      <c r="B375" s="51" t="inlineStr">
        <is>
          <t>Mohave</t>
        </is>
      </c>
      <c r="C375" s="53" t="n">
        <v>17787</v>
      </c>
      <c r="D375" s="73" t="n">
        <v>0.771799628942486</v>
      </c>
      <c r="E375" s="70" t="n">
        <v>77.36740967365969</v>
      </c>
      <c r="F375" s="70" t="n">
        <v>74.4916720662749</v>
      </c>
      <c r="G375" s="51" t="n">
        <v>30</v>
      </c>
      <c r="H375" s="73" t="n">
        <v>1</v>
      </c>
      <c r="I375" s="51" t="inlineStr">
        <is>
          <t>LD30 (100%)</t>
        </is>
      </c>
    </row>
    <row r="376" ht="15" customHeight="1" s="44">
      <c r="A376" s="51" t="inlineStr">
        <is>
          <t>86404</t>
        </is>
      </c>
      <c r="B376" s="51" t="inlineStr">
        <is>
          <t>Mohave</t>
        </is>
      </c>
      <c r="C376" s="53" t="n">
        <v>18312</v>
      </c>
      <c r="D376" s="73" t="n">
        <v>0.689056356487549</v>
      </c>
      <c r="E376" s="70" t="n">
        <v>77.52013789824061</v>
      </c>
      <c r="F376" s="70" t="n">
        <v>74.6444002908558</v>
      </c>
      <c r="G376" s="51" t="n">
        <v>30</v>
      </c>
      <c r="H376" s="73" t="n">
        <v>1</v>
      </c>
      <c r="I376" s="51" t="inlineStr">
        <is>
          <t>LD30 (100%)</t>
        </is>
      </c>
    </row>
    <row r="377" ht="15" customHeight="1" s="44">
      <c r="A377" s="51" t="inlineStr">
        <is>
          <t>86406</t>
        </is>
      </c>
      <c r="B377" s="51" t="inlineStr">
        <is>
          <t>Mohave</t>
        </is>
      </c>
      <c r="C377" s="53" t="n">
        <v>24935</v>
      </c>
      <c r="D377" s="73" t="n">
        <v>0.322318026869862</v>
      </c>
      <c r="E377" s="70" t="n">
        <v>79.7587034963295</v>
      </c>
      <c r="F377" s="70" t="n">
        <v>76.8829658889447</v>
      </c>
      <c r="G377" s="51" t="n">
        <v>30</v>
      </c>
      <c r="H377" s="73" t="n">
        <v>1</v>
      </c>
      <c r="I377" s="51" t="inlineStr">
        <is>
          <t>LD30 (100%)</t>
        </is>
      </c>
    </row>
    <row r="378" ht="15" customHeight="1" s="44">
      <c r="A378" s="51" t="inlineStr">
        <is>
          <t>86409</t>
        </is>
      </c>
      <c r="B378" s="51" t="inlineStr">
        <is>
          <t>Mohave</t>
        </is>
      </c>
      <c r="C378" s="53" t="n">
        <v>28860</v>
      </c>
      <c r="D378" s="73" t="n">
        <v>1</v>
      </c>
      <c r="E378" s="70" t="n">
        <v>74.1412508662509</v>
      </c>
      <c r="F378" s="70" t="n">
        <v>71.26551325886609</v>
      </c>
      <c r="G378" s="51" t="n">
        <v>30</v>
      </c>
      <c r="H378" s="73" t="n">
        <v>1</v>
      </c>
      <c r="I378" s="51" t="inlineStr">
        <is>
          <t>LD30 (100%)</t>
        </is>
      </c>
    </row>
    <row r="379" ht="15" customHeight="1" s="44">
      <c r="A379" s="51" t="inlineStr">
        <is>
          <t>86411</t>
        </is>
      </c>
      <c r="B379" s="51" t="inlineStr">
        <is>
          <t>Mohave</t>
        </is>
      </c>
      <c r="C379" s="53" t="n">
        <v>202</v>
      </c>
      <c r="D379" s="73" t="n">
        <v>1</v>
      </c>
      <c r="E379" s="70" t="n">
        <v>82.8643564356436</v>
      </c>
      <c r="F379" s="70" t="n">
        <v>79.98861882825879</v>
      </c>
      <c r="G379" s="51" t="n">
        <v>30</v>
      </c>
      <c r="H379" s="73" t="n">
        <v>1</v>
      </c>
      <c r="I379" s="51" t="inlineStr">
        <is>
          <t>LD30 (100%)</t>
        </is>
      </c>
    </row>
    <row r="380" ht="15" customHeight="1" s="44">
      <c r="A380" s="51" t="inlineStr">
        <is>
          <t>86413</t>
        </is>
      </c>
      <c r="B380" s="51" t="inlineStr">
        <is>
          <t>Mohave</t>
        </is>
      </c>
      <c r="C380" s="53" t="n">
        <v>13436</v>
      </c>
      <c r="D380" s="73" t="n">
        <v>1</v>
      </c>
      <c r="E380" s="70" t="n">
        <v>77.1441277165823</v>
      </c>
      <c r="F380" s="70" t="n">
        <v>74.2683901091975</v>
      </c>
      <c r="G380" s="51" t="n">
        <v>30</v>
      </c>
      <c r="H380" s="73" t="n">
        <v>1</v>
      </c>
      <c r="I380" s="51" t="inlineStr">
        <is>
          <t>LD30 (100%)</t>
        </is>
      </c>
    </row>
    <row r="381" ht="15" customHeight="1" s="44">
      <c r="A381" s="51" t="inlineStr">
        <is>
          <t>86426</t>
        </is>
      </c>
      <c r="B381" s="51" t="inlineStr">
        <is>
          <t>Mohave</t>
        </is>
      </c>
      <c r="C381" s="53" t="n">
        <v>15953</v>
      </c>
      <c r="D381" s="73" t="n">
        <v>1</v>
      </c>
      <c r="E381" s="70" t="n">
        <v>76.240224409202</v>
      </c>
      <c r="F381" s="70" t="n">
        <v>73.36448680181731</v>
      </c>
      <c r="G381" s="51" t="n">
        <v>30</v>
      </c>
      <c r="H381" s="73" t="n">
        <v>1</v>
      </c>
      <c r="I381" s="51" t="inlineStr">
        <is>
          <t>LD30 (100%)</t>
        </is>
      </c>
    </row>
    <row r="382" ht="15" customHeight="1" s="44">
      <c r="A382" s="51" t="inlineStr">
        <is>
          <t>86429</t>
        </is>
      </c>
      <c r="B382" s="51" t="inlineStr">
        <is>
          <t>Mohave</t>
        </is>
      </c>
      <c r="C382" s="53" t="n">
        <v>7708</v>
      </c>
      <c r="D382" s="73" t="n">
        <v>1</v>
      </c>
      <c r="E382" s="70" t="n">
        <v>73.9231058640374</v>
      </c>
      <c r="F382" s="70" t="n">
        <v>71.0473682566526</v>
      </c>
      <c r="G382" s="51" t="n">
        <v>30</v>
      </c>
      <c r="H382" s="73" t="n">
        <v>1</v>
      </c>
      <c r="I382" s="51" t="inlineStr">
        <is>
          <t>LD30 (100%)</t>
        </is>
      </c>
    </row>
    <row r="383" ht="15" customHeight="1" s="44">
      <c r="A383" s="51" t="inlineStr">
        <is>
          <t>86431</t>
        </is>
      </c>
      <c r="B383" s="51" t="inlineStr">
        <is>
          <t>Mohave</t>
        </is>
      </c>
      <c r="C383" s="53" t="n">
        <v>417</v>
      </c>
      <c r="D383" s="73" t="n">
        <v>1</v>
      </c>
      <c r="E383" s="70" t="n">
        <v>78.8</v>
      </c>
      <c r="F383" s="70" t="n">
        <v>75.9242623926152</v>
      </c>
      <c r="G383" s="51" t="n">
        <v>30</v>
      </c>
      <c r="H383" s="73" t="n">
        <v>1</v>
      </c>
      <c r="I383" s="51" t="inlineStr">
        <is>
          <t>LD30 (100%)</t>
        </is>
      </c>
    </row>
    <row r="384" ht="15" customHeight="1" s="44">
      <c r="A384" s="51" t="inlineStr">
        <is>
          <t>86432</t>
        </is>
      </c>
      <c r="B384" s="51" t="inlineStr">
        <is>
          <t>Mohave</t>
        </is>
      </c>
      <c r="C384" s="53" t="n">
        <v>3158</v>
      </c>
      <c r="D384" s="73" t="n">
        <v>1</v>
      </c>
      <c r="E384" s="70" t="n">
        <v>76.09999999999999</v>
      </c>
      <c r="F384" s="70" t="n">
        <v>73.2242623926152</v>
      </c>
      <c r="G384" s="51" t="n">
        <v>30</v>
      </c>
      <c r="H384" s="73" t="n">
        <v>1</v>
      </c>
      <c r="I384" s="51" t="inlineStr">
        <is>
          <t>LD30 (100%)</t>
        </is>
      </c>
    </row>
    <row r="385" ht="15" customHeight="1" s="44">
      <c r="A385" s="51" t="inlineStr">
        <is>
          <t>86433</t>
        </is>
      </c>
      <c r="B385" s="51" t="inlineStr">
        <is>
          <t>Mohave</t>
        </is>
      </c>
      <c r="C385" s="53" t="n">
        <v>127</v>
      </c>
      <c r="D385" s="73" t="n">
        <v>1</v>
      </c>
      <c r="E385" s="70" t="n">
        <v>84.8</v>
      </c>
      <c r="F385" s="70" t="n">
        <v>81.9242623926152</v>
      </c>
      <c r="G385" s="51" t="n">
        <v>30</v>
      </c>
      <c r="H385" s="73" t="n">
        <v>1</v>
      </c>
      <c r="I385" s="51" t="inlineStr">
        <is>
          <t>LD30 (100%)</t>
        </is>
      </c>
    </row>
    <row r="386" ht="15" customHeight="1" s="44">
      <c r="A386" s="51" t="inlineStr">
        <is>
          <t>86434</t>
        </is>
      </c>
      <c r="B386" s="51" t="inlineStr">
        <is>
          <t>Mohave</t>
        </is>
      </c>
      <c r="C386" s="53" t="n">
        <v>1424</v>
      </c>
      <c r="D386" s="73" t="n">
        <v>1</v>
      </c>
      <c r="E386" s="70" t="n">
        <v>76.1190308988764</v>
      </c>
      <c r="F386" s="70" t="n">
        <v>73.2537596126101</v>
      </c>
      <c r="G386" s="51" t="n">
        <v>6</v>
      </c>
      <c r="H386" s="73" t="n">
        <v>0.8883426966292139</v>
      </c>
      <c r="I386" s="51" t="inlineStr">
        <is>
          <t>LD6 (89%); LD30 (8%); LD1 (3%)</t>
        </is>
      </c>
    </row>
    <row r="387" ht="15" customHeight="1" s="44">
      <c r="A387" s="51" t="inlineStr">
        <is>
          <t>86435</t>
        </is>
      </c>
      <c r="B387" s="51" t="inlineStr">
        <is>
          <t>Coconino</t>
        </is>
      </c>
      <c r="C387" s="53" t="n">
        <v>224</v>
      </c>
      <c r="D387" s="73" t="n">
        <v>1</v>
      </c>
      <c r="E387" s="70" t="n">
        <v>78.8</v>
      </c>
      <c r="F387" s="70" t="n">
        <v>75.7667377568917</v>
      </c>
      <c r="G387" s="51" t="n">
        <v>6</v>
      </c>
      <c r="H387" s="73" t="n">
        <v>1</v>
      </c>
      <c r="I387" s="51" t="inlineStr">
        <is>
          <t>LD6 (100%)</t>
        </is>
      </c>
    </row>
    <row r="388" ht="15" customHeight="1" s="44">
      <c r="A388" s="51" t="inlineStr">
        <is>
          <t>86436</t>
        </is>
      </c>
      <c r="B388" s="51" t="inlineStr">
        <is>
          <t>Mohave</t>
        </is>
      </c>
      <c r="C388" s="53" t="n">
        <v>1938</v>
      </c>
      <c r="D388" s="73" t="n">
        <v>1</v>
      </c>
      <c r="E388" s="70" t="n">
        <v>75.5166150670795</v>
      </c>
      <c r="F388" s="70" t="n">
        <v>72.64087745969471</v>
      </c>
      <c r="G388" s="51" t="n">
        <v>30</v>
      </c>
      <c r="H388" s="73" t="n">
        <v>1</v>
      </c>
      <c r="I388" s="51" t="inlineStr">
        <is>
          <t>LD30 (100%)</t>
        </is>
      </c>
    </row>
    <row r="389" ht="15" customHeight="1" s="44">
      <c r="A389" s="51" t="inlineStr">
        <is>
          <t>86437</t>
        </is>
      </c>
      <c r="B389" s="51" t="inlineStr">
        <is>
          <t>Mohave</t>
        </is>
      </c>
      <c r="C389" s="53" t="n">
        <v>92</v>
      </c>
      <c r="D389" s="73" t="n">
        <v>1</v>
      </c>
      <c r="E389" s="70" t="n">
        <v>79.8108695652174</v>
      </c>
      <c r="F389" s="70" t="n">
        <v>76.9351319578326</v>
      </c>
      <c r="G389" s="51" t="n">
        <v>30</v>
      </c>
      <c r="H389" s="73" t="n">
        <v>1</v>
      </c>
      <c r="I389" s="51" t="inlineStr">
        <is>
          <t>LD30 (100%)</t>
        </is>
      </c>
    </row>
    <row r="390" ht="15" customHeight="1" s="44">
      <c r="A390" s="51" t="inlineStr">
        <is>
          <t>86438</t>
        </is>
      </c>
      <c r="B390" s="51" t="inlineStr">
        <is>
          <t>Mohave</t>
        </is>
      </c>
      <c r="C390" s="53" t="n">
        <v>945</v>
      </c>
      <c r="D390" s="73" t="n">
        <v>1</v>
      </c>
      <c r="E390" s="70" t="n">
        <v>84.8</v>
      </c>
      <c r="F390" s="70" t="n">
        <v>81.9242623926152</v>
      </c>
      <c r="G390" s="51" t="n">
        <v>30</v>
      </c>
      <c r="H390" s="73" t="n">
        <v>1</v>
      </c>
      <c r="I390" s="51" t="inlineStr">
        <is>
          <t>LD30 (100%)</t>
        </is>
      </c>
    </row>
    <row r="391" ht="15" customHeight="1" s="44">
      <c r="A391" s="51" t="inlineStr">
        <is>
          <t>86440</t>
        </is>
      </c>
      <c r="B391" s="51" t="inlineStr">
        <is>
          <t>Mohave</t>
        </is>
      </c>
      <c r="C391" s="53" t="n">
        <v>7310</v>
      </c>
      <c r="D391" s="73" t="n">
        <v>1</v>
      </c>
      <c r="E391" s="70" t="n">
        <v>72.0035567715458</v>
      </c>
      <c r="F391" s="70" t="n">
        <v>69.1278191641611</v>
      </c>
      <c r="G391" s="51" t="n">
        <v>30</v>
      </c>
      <c r="H391" s="73" t="n">
        <v>1</v>
      </c>
      <c r="I391" s="51" t="inlineStr">
        <is>
          <t>LD30 (100%)</t>
        </is>
      </c>
    </row>
    <row r="392" ht="15" customHeight="1" s="44">
      <c r="A392" s="51" t="inlineStr">
        <is>
          <t>86441</t>
        </is>
      </c>
      <c r="B392" s="51" t="inlineStr">
        <is>
          <t>Mohave</t>
        </is>
      </c>
      <c r="C392" s="53" t="n">
        <v>1919</v>
      </c>
      <c r="D392" s="73" t="n">
        <v>0.0719124544033351</v>
      </c>
      <c r="E392" s="70" t="n">
        <v>77.42318840579711</v>
      </c>
      <c r="F392" s="70" t="n">
        <v>74.5474507984123</v>
      </c>
      <c r="G392" s="51" t="n">
        <v>30</v>
      </c>
      <c r="H392" s="73" t="n">
        <v>1</v>
      </c>
      <c r="I392" s="51" t="inlineStr">
        <is>
          <t>LD30 (100%)</t>
        </is>
      </c>
    </row>
    <row r="393" ht="15" customHeight="1" s="44">
      <c r="A393" s="51" t="inlineStr">
        <is>
          <t>86442</t>
        </is>
      </c>
      <c r="B393" s="51" t="inlineStr">
        <is>
          <t>Mohave</t>
        </is>
      </c>
      <c r="C393" s="53" t="n">
        <v>34171</v>
      </c>
      <c r="D393" s="73" t="n">
        <v>1</v>
      </c>
      <c r="E393" s="70" t="n">
        <v>73.54495332299319</v>
      </c>
      <c r="F393" s="70" t="n">
        <v>70.6692157156084</v>
      </c>
      <c r="G393" s="51" t="n">
        <v>30</v>
      </c>
      <c r="H393" s="73" t="n">
        <v>1</v>
      </c>
      <c r="I393" s="51" t="inlineStr">
        <is>
          <t>LD30 (100%)</t>
        </is>
      </c>
    </row>
    <row r="394" ht="15" customHeight="1" s="44">
      <c r="A394" s="51" t="inlineStr">
        <is>
          <t>86443</t>
        </is>
      </c>
      <c r="B394" s="51" t="inlineStr">
        <is>
          <t>Mohave</t>
        </is>
      </c>
      <c r="C394" s="53" t="n">
        <v>16</v>
      </c>
      <c r="D394" s="73" t="n">
        <v>1</v>
      </c>
      <c r="E394" s="70" t="n">
        <v>76.3</v>
      </c>
      <c r="F394" s="70" t="n">
        <v>73.4242623926152</v>
      </c>
      <c r="G394" s="51" t="n">
        <v>30</v>
      </c>
      <c r="H394" s="73" t="n">
        <v>1</v>
      </c>
      <c r="I394" s="51" t="inlineStr">
        <is>
          <t>LD30 (100%)</t>
        </is>
      </c>
    </row>
    <row r="395" ht="15" customHeight="1" s="44">
      <c r="A395" s="51" t="inlineStr">
        <is>
          <t>86444</t>
        </is>
      </c>
      <c r="B395" s="51" t="inlineStr">
        <is>
          <t>Mohave</t>
        </is>
      </c>
      <c r="C395" s="53" t="n">
        <v>1491</v>
      </c>
      <c r="D395" s="73" t="n">
        <v>1</v>
      </c>
      <c r="E395" s="70" t="n">
        <v>76.3</v>
      </c>
      <c r="F395" s="70" t="n">
        <v>73.4242623926152</v>
      </c>
      <c r="G395" s="51" t="n">
        <v>30</v>
      </c>
      <c r="H395" s="73" t="n">
        <v>1</v>
      </c>
      <c r="I395" s="51" t="inlineStr">
        <is>
          <t>LD30 (100%)</t>
        </is>
      </c>
    </row>
    <row r="396" ht="15" customHeight="1" s="44">
      <c r="A396" s="51" t="inlineStr">
        <is>
          <t>86445</t>
        </is>
      </c>
      <c r="B396" s="51" t="inlineStr">
        <is>
          <t>Mohave</t>
        </is>
      </c>
      <c r="C396" s="53" t="n">
        <v>354</v>
      </c>
      <c r="D396" s="73" t="n">
        <v>1</v>
      </c>
      <c r="E396" s="70" t="n">
        <v>76.3</v>
      </c>
      <c r="F396" s="70" t="n">
        <v>73.4242623926152</v>
      </c>
      <c r="G396" s="51" t="n">
        <v>30</v>
      </c>
      <c r="H396" s="73" t="n">
        <v>1</v>
      </c>
      <c r="I396" s="51" t="inlineStr">
        <is>
          <t>LD30 (100%)</t>
        </is>
      </c>
    </row>
    <row r="397" ht="15" customHeight="1" s="44">
      <c r="A397" s="51" t="inlineStr">
        <is>
          <t>86502</t>
        </is>
      </c>
      <c r="B397" s="51" t="inlineStr">
        <is>
          <t>Apache</t>
        </is>
      </c>
      <c r="C397" s="53" t="n">
        <v>1032</v>
      </c>
      <c r="D397" s="73" t="n">
        <v>1</v>
      </c>
      <c r="E397" s="70" t="n">
        <v>75.2271317829457</v>
      </c>
      <c r="F397" s="70" t="n">
        <v>63.2989817821662</v>
      </c>
      <c r="G397" s="51" t="n">
        <v>6</v>
      </c>
      <c r="H397" s="73" t="n">
        <v>1</v>
      </c>
      <c r="I397" s="51" t="inlineStr">
        <is>
          <t>LD6 (100%)</t>
        </is>
      </c>
    </row>
    <row r="398" ht="15" customHeight="1" s="44">
      <c r="A398" s="51" t="inlineStr">
        <is>
          <t>86503</t>
        </is>
      </c>
      <c r="B398" s="51" t="inlineStr">
        <is>
          <t>Apache</t>
        </is>
      </c>
      <c r="C398" s="53" t="n">
        <v>9851</v>
      </c>
      <c r="D398" s="73" t="n">
        <v>1</v>
      </c>
      <c r="E398" s="70" t="n">
        <v>75.7530910567455</v>
      </c>
      <c r="F398" s="70" t="n">
        <v>63.8289225284587</v>
      </c>
      <c r="G398" s="51" t="n">
        <v>6</v>
      </c>
      <c r="H398" s="73" t="n">
        <v>1</v>
      </c>
      <c r="I398" s="51" t="inlineStr">
        <is>
          <t>LD6 (100%)</t>
        </is>
      </c>
    </row>
    <row r="399" ht="15" customHeight="1" s="44">
      <c r="A399" s="51" t="inlineStr">
        <is>
          <t>86504</t>
        </is>
      </c>
      <c r="B399" s="51" t="inlineStr">
        <is>
          <t>Apache</t>
        </is>
      </c>
      <c r="C399" s="53" t="n">
        <v>5164</v>
      </c>
      <c r="D399" s="73" t="n">
        <v>1</v>
      </c>
      <c r="E399" s="70" t="n">
        <v>75.09999999999999</v>
      </c>
      <c r="F399" s="70" t="n">
        <v>63.1718499992204</v>
      </c>
      <c r="G399" s="51" t="n">
        <v>6</v>
      </c>
      <c r="H399" s="73" t="n">
        <v>1</v>
      </c>
      <c r="I399" s="51" t="inlineStr">
        <is>
          <t>LD6 (100%)</t>
        </is>
      </c>
    </row>
    <row r="400" ht="15" customHeight="1" s="44">
      <c r="A400" s="51" t="inlineStr">
        <is>
          <t>86505</t>
        </is>
      </c>
      <c r="B400" s="51" t="inlineStr">
        <is>
          <t>Apache</t>
        </is>
      </c>
      <c r="C400" s="53" t="n">
        <v>6605</v>
      </c>
      <c r="D400" s="73" t="n">
        <v>1</v>
      </c>
      <c r="E400" s="70" t="n">
        <v>75.09999999999999</v>
      </c>
      <c r="F400" s="70" t="n">
        <v>63.4760152751478</v>
      </c>
      <c r="G400" s="51" t="n">
        <v>6</v>
      </c>
      <c r="H400" s="73" t="n">
        <v>1</v>
      </c>
      <c r="I400" s="51" t="inlineStr">
        <is>
          <t>LD6 (100%)</t>
        </is>
      </c>
    </row>
    <row r="401" ht="15" customHeight="1" s="44">
      <c r="A401" s="51" t="inlineStr">
        <is>
          <t>86506</t>
        </is>
      </c>
      <c r="B401" s="51" t="inlineStr">
        <is>
          <t>Apache</t>
        </is>
      </c>
      <c r="C401" s="53" t="n">
        <v>1415</v>
      </c>
      <c r="D401" s="73" t="n">
        <v>1</v>
      </c>
      <c r="E401" s="70" t="n">
        <v>75.10113074204951</v>
      </c>
      <c r="F401" s="70" t="n">
        <v>63.1729807412699</v>
      </c>
      <c r="G401" s="51" t="n">
        <v>6</v>
      </c>
      <c r="H401" s="73" t="n">
        <v>1</v>
      </c>
      <c r="I401" s="51" t="inlineStr">
        <is>
          <t>LD6 (100%)</t>
        </is>
      </c>
    </row>
    <row r="402" ht="15" customHeight="1" s="44">
      <c r="A402" s="51" t="inlineStr">
        <is>
          <t>86507</t>
        </is>
      </c>
      <c r="B402" s="51" t="inlineStr">
        <is>
          <t>Apache</t>
        </is>
      </c>
      <c r="C402" s="53" t="n">
        <v>1912</v>
      </c>
      <c r="D402" s="73" t="n">
        <v>1</v>
      </c>
      <c r="E402" s="70" t="n">
        <v>75.09999999999999</v>
      </c>
      <c r="F402" s="70" t="n">
        <v>63.1718499992204</v>
      </c>
      <c r="G402" s="51" t="n">
        <v>6</v>
      </c>
      <c r="H402" s="73" t="n">
        <v>1</v>
      </c>
      <c r="I402" s="51" t="inlineStr">
        <is>
          <t>LD6 (100%)</t>
        </is>
      </c>
    </row>
    <row r="403" ht="15" customHeight="1" s="44">
      <c r="A403" s="51" t="inlineStr">
        <is>
          <t>86508</t>
        </is>
      </c>
      <c r="B403" s="51" t="inlineStr">
        <is>
          <t>Apache</t>
        </is>
      </c>
      <c r="C403" s="53" t="n">
        <v>606</v>
      </c>
      <c r="D403" s="73" t="n">
        <v>1</v>
      </c>
      <c r="E403" s="70" t="n">
        <v>75.09999999999999</v>
      </c>
      <c r="F403" s="70" t="n">
        <v>63.1718499992204</v>
      </c>
      <c r="G403" s="51" t="n">
        <v>6</v>
      </c>
      <c r="H403" s="73" t="n">
        <v>1</v>
      </c>
      <c r="I403" s="51" t="inlineStr">
        <is>
          <t>LD6 (100%)</t>
        </is>
      </c>
    </row>
    <row r="404" ht="15" customHeight="1" s="44">
      <c r="A404" s="51" t="inlineStr">
        <is>
          <t>86510</t>
        </is>
      </c>
      <c r="B404" s="51" t="inlineStr">
        <is>
          <t>Navajo</t>
        </is>
      </c>
      <c r="C404" s="53" t="n">
        <v>4815</v>
      </c>
      <c r="D404" s="73" t="n">
        <v>1</v>
      </c>
      <c r="E404" s="70" t="n">
        <v>75.1018276220145</v>
      </c>
      <c r="F404" s="70" t="n">
        <v>65.3526490393479</v>
      </c>
      <c r="G404" s="51" t="n">
        <v>6</v>
      </c>
      <c r="H404" s="73" t="n">
        <v>1</v>
      </c>
      <c r="I404" s="51" t="inlineStr">
        <is>
          <t>LD6 (100%)</t>
        </is>
      </c>
    </row>
    <row r="405" ht="15" customHeight="1" s="44">
      <c r="A405" s="51" t="inlineStr">
        <is>
          <t>86511</t>
        </is>
      </c>
      <c r="B405" s="51" t="inlineStr">
        <is>
          <t>Apache</t>
        </is>
      </c>
      <c r="C405" s="53" t="n">
        <v>3603</v>
      </c>
      <c r="D405" s="73" t="n">
        <v>1</v>
      </c>
      <c r="E405" s="70" t="n">
        <v>75.09999999999999</v>
      </c>
      <c r="F405" s="70" t="n">
        <v>63.1718499992204</v>
      </c>
      <c r="G405" s="51" t="n">
        <v>6</v>
      </c>
      <c r="H405" s="73" t="n">
        <v>1</v>
      </c>
      <c r="I405" s="51" t="inlineStr">
        <is>
          <t>LD6 (100%)</t>
        </is>
      </c>
    </row>
    <row r="406" ht="15" customHeight="1" s="44">
      <c r="A406" s="51" t="inlineStr">
        <is>
          <t>86512</t>
        </is>
      </c>
      <c r="B406" s="51" t="inlineStr">
        <is>
          <t>Apache</t>
        </is>
      </c>
      <c r="C406" s="53" t="n">
        <v>2146</v>
      </c>
      <c r="D406" s="73" t="n">
        <v>1</v>
      </c>
      <c r="E406" s="70" t="n">
        <v>75.4452935694315</v>
      </c>
      <c r="F406" s="70" t="n">
        <v>63.5171435686519</v>
      </c>
      <c r="G406" s="51" t="n">
        <v>6</v>
      </c>
      <c r="H406" s="73" t="n">
        <v>1</v>
      </c>
      <c r="I406" s="51" t="inlineStr">
        <is>
          <t>LD6 (100%)</t>
        </is>
      </c>
    </row>
    <row r="407" ht="15" customHeight="1" s="44">
      <c r="A407" s="51" t="inlineStr">
        <is>
          <t>86514</t>
        </is>
      </c>
      <c r="B407" s="51" t="inlineStr">
        <is>
          <t>Apache</t>
        </is>
      </c>
      <c r="C407" s="53" t="n">
        <v>2183</v>
      </c>
      <c r="D407" s="73" t="n">
        <v>1</v>
      </c>
      <c r="E407" s="70" t="n">
        <v>75.09999999999999</v>
      </c>
      <c r="F407" s="70" t="n">
        <v>63.1718499992204</v>
      </c>
      <c r="G407" s="51" t="n">
        <v>6</v>
      </c>
      <c r="H407" s="73" t="n">
        <v>1</v>
      </c>
      <c r="I407" s="51" t="inlineStr">
        <is>
          <t>LD6 (100%)</t>
        </is>
      </c>
    </row>
    <row r="408" ht="15" customHeight="1" s="44">
      <c r="A408" s="51" t="inlineStr">
        <is>
          <t>86515</t>
        </is>
      </c>
      <c r="B408" s="51" t="inlineStr">
        <is>
          <t>Apache</t>
        </is>
      </c>
      <c r="C408" s="53" t="n">
        <v>2561</v>
      </c>
      <c r="D408" s="73" t="n">
        <v>1</v>
      </c>
      <c r="E408" s="70" t="n">
        <v>75.09999999999999</v>
      </c>
      <c r="F408" s="70" t="n">
        <v>63.1718499992204</v>
      </c>
      <c r="G408" s="51" t="n">
        <v>6</v>
      </c>
      <c r="H408" s="73" t="n">
        <v>1</v>
      </c>
      <c r="I408" s="51" t="inlineStr">
        <is>
          <t>LD6 (100%)</t>
        </is>
      </c>
    </row>
    <row r="409" ht="15" customHeight="1" s="44">
      <c r="A409" s="51" t="inlineStr">
        <is>
          <t>86520</t>
        </is>
      </c>
      <c r="B409" s="51" t="inlineStr">
        <is>
          <t>Navajo</t>
        </is>
      </c>
      <c r="C409" s="53" t="n">
        <v>2361</v>
      </c>
      <c r="D409" s="73" t="n">
        <v>1</v>
      </c>
      <c r="E409" s="70" t="n">
        <v>75.09999999999999</v>
      </c>
      <c r="F409" s="70" t="n">
        <v>64.29225292238389</v>
      </c>
      <c r="G409" s="51" t="n">
        <v>6</v>
      </c>
      <c r="H409" s="73" t="n">
        <v>1</v>
      </c>
      <c r="I409" s="51" t="inlineStr">
        <is>
          <t>LD6 (100%)</t>
        </is>
      </c>
    </row>
    <row r="410" ht="15" customHeight="1" s="44">
      <c r="A410" s="51" t="inlineStr">
        <is>
          <t>86535</t>
        </is>
      </c>
      <c r="B410" s="51" t="inlineStr">
        <is>
          <t>Apache</t>
        </is>
      </c>
      <c r="C410" s="53" t="n">
        <v>1051</v>
      </c>
      <c r="D410" s="73" t="n">
        <v>1</v>
      </c>
      <c r="E410" s="70" t="n">
        <v>75.09999999999999</v>
      </c>
      <c r="F410" s="70" t="n">
        <v>63.1718499992204</v>
      </c>
      <c r="G410" s="51" t="n">
        <v>6</v>
      </c>
      <c r="H410" s="73" t="n">
        <v>1</v>
      </c>
      <c r="I410" s="51" t="inlineStr">
        <is>
          <t>LD6 (100%)</t>
        </is>
      </c>
    </row>
    <row r="411" ht="15" customHeight="1" s="44">
      <c r="A411" s="51" t="inlineStr">
        <is>
          <t>86538</t>
        </is>
      </c>
      <c r="B411" s="51" t="inlineStr">
        <is>
          <t>Apache</t>
        </is>
      </c>
      <c r="C411" s="53" t="n">
        <v>2355</v>
      </c>
      <c r="D411" s="73" t="n">
        <v>1</v>
      </c>
      <c r="E411" s="70" t="n">
        <v>75.09999999999999</v>
      </c>
      <c r="F411" s="70" t="n">
        <v>63.1718499992204</v>
      </c>
      <c r="G411" s="51" t="n">
        <v>6</v>
      </c>
      <c r="H411" s="73" t="n">
        <v>1</v>
      </c>
      <c r="I411" s="51" t="inlineStr">
        <is>
          <t>LD6 (100%)</t>
        </is>
      </c>
    </row>
    <row r="412" ht="15" customHeight="1" s="44">
      <c r="A412" s="51" t="inlineStr">
        <is>
          <t>86540</t>
        </is>
      </c>
      <c r="B412" s="51" t="inlineStr">
        <is>
          <t>Apache</t>
        </is>
      </c>
      <c r="C412" s="53" t="n">
        <v>1099</v>
      </c>
      <c r="D412" s="73" t="n">
        <v>1</v>
      </c>
      <c r="E412" s="70" t="n">
        <v>75.09999999999999</v>
      </c>
      <c r="F412" s="70" t="n">
        <v>63.1718499992204</v>
      </c>
      <c r="G412" s="51" t="n">
        <v>6</v>
      </c>
      <c r="H412" s="73" t="n">
        <v>1</v>
      </c>
      <c r="I412" s="51" t="inlineStr">
        <is>
          <t>LD6 (100%)</t>
        </is>
      </c>
    </row>
    <row r="413" ht="15" customHeight="1" s="44">
      <c r="A413" s="51" t="inlineStr">
        <is>
          <t>86544</t>
        </is>
      </c>
      <c r="B413" s="51" t="inlineStr">
        <is>
          <t>Apache</t>
        </is>
      </c>
      <c r="C413" s="53" t="n">
        <v>1060</v>
      </c>
      <c r="D413" s="73" t="n">
        <v>1</v>
      </c>
      <c r="E413" s="70" t="n">
        <v>75.09999999999999</v>
      </c>
      <c r="F413" s="70" t="n">
        <v>63.1718499992204</v>
      </c>
      <c r="G413" s="51" t="n">
        <v>6</v>
      </c>
      <c r="H413" s="73" t="n">
        <v>1</v>
      </c>
      <c r="I413" s="51" t="inlineStr">
        <is>
          <t>LD6 (100%)</t>
        </is>
      </c>
    </row>
    <row r="414" ht="15" customHeight="1" s="44">
      <c r="A414" s="51" t="inlineStr">
        <is>
          <t>86545</t>
        </is>
      </c>
      <c r="B414" s="51" t="inlineStr">
        <is>
          <t>Apache</t>
        </is>
      </c>
      <c r="C414" s="53" t="n">
        <v>1414</v>
      </c>
      <c r="D414" s="73" t="n">
        <v>1</v>
      </c>
      <c r="E414" s="70" t="n">
        <v>75.09999999999999</v>
      </c>
      <c r="F414" s="70" t="n">
        <v>63.1718499992204</v>
      </c>
      <c r="G414" s="51" t="n">
        <v>6</v>
      </c>
      <c r="H414" s="73" t="n">
        <v>1</v>
      </c>
      <c r="I414" s="51" t="inlineStr">
        <is>
          <t>LD6 (100%)</t>
        </is>
      </c>
    </row>
    <row r="415" ht="15" customHeight="1" s="44">
      <c r="A415" s="51" t="inlineStr">
        <is>
          <t>86547</t>
        </is>
      </c>
      <c r="B415" s="51" t="inlineStr">
        <is>
          <t>Apache</t>
        </is>
      </c>
      <c r="C415" s="53" t="n">
        <v>1094</v>
      </c>
      <c r="D415" s="73" t="n">
        <v>1</v>
      </c>
      <c r="E415" s="70" t="n">
        <v>75.09999999999999</v>
      </c>
      <c r="F415" s="70" t="n">
        <v>63.1718499992204</v>
      </c>
      <c r="G415" s="51" t="n">
        <v>6</v>
      </c>
      <c r="H415" s="73" t="n">
        <v>1</v>
      </c>
      <c r="I415" s="51" t="inlineStr">
        <is>
          <t>LD6 (100%)</t>
        </is>
      </c>
    </row>
    <row r="416" ht="15" customHeight="1" s="44">
      <c r="A416" s="51" t="inlineStr">
        <is>
          <t>86556</t>
        </is>
      </c>
      <c r="B416" s="51" t="inlineStr">
        <is>
          <t>Apache</t>
        </is>
      </c>
      <c r="C416" s="53" t="n">
        <v>2398</v>
      </c>
      <c r="D416" s="73" t="n">
        <v>1</v>
      </c>
      <c r="E416" s="70" t="n">
        <v>75.09999999999999</v>
      </c>
      <c r="F416" s="70" t="n">
        <v>63.1718499992204</v>
      </c>
      <c r="G416" s="51" t="n">
        <v>6</v>
      </c>
      <c r="H416" s="73" t="n">
        <v>1</v>
      </c>
      <c r="I416" s="51" t="inlineStr">
        <is>
          <t>LD6 (100%)</t>
        </is>
      </c>
    </row>
    <row r="417" ht="15" customHeight="1" s="44">
      <c r="A417" s="51" t="inlineStr">
        <is>
          <t>87328</t>
        </is>
      </c>
      <c r="B417" s="51" t="inlineStr">
        <is>
          <t>Apache</t>
        </is>
      </c>
      <c r="C417" s="53" t="n">
        <v>178</v>
      </c>
      <c r="D417" s="73" t="n">
        <v>1</v>
      </c>
      <c r="E417" s="70" t="n">
        <v>75.09999999999999</v>
      </c>
      <c r="F417" s="70" t="n">
        <v>63.1718499992204</v>
      </c>
      <c r="G417" s="51" t="n">
        <v>6</v>
      </c>
      <c r="H417" s="73" t="n">
        <v>1</v>
      </c>
      <c r="I417" s="51" t="inlineStr">
        <is>
          <t>LD6 (100%)</t>
        </is>
      </c>
    </row>
    <row r="418" ht="15" customHeight="1" s="44">
      <c r="A418" s="63" t="n"/>
      <c r="B418" s="63" t="n"/>
      <c r="C418" s="63" t="n"/>
      <c r="D418" s="63" t="n"/>
      <c r="E418" s="63" t="n"/>
      <c r="F418" s="63" t="n"/>
      <c r="G418" s="63" t="n"/>
      <c r="H418" s="63" t="n"/>
      <c r="I418" s="63" t="n"/>
    </row>
    <row r="419" ht="60" customHeight="1" s="44">
      <c r="A419" s="46" t="inlineStr">
        <is>
          <t>ZCTAs are the Census Bureau's ZIP-code approximations (2020). No agency publishes current life expectancy by ZIP code for Arizona; ADHS's only ZIP table reprints a 2004-2013 VCU study for 34 Phoenix-area ZIPs. These values are USALEEP tract estimates (2010-2015) aggregated to ZCTAs by 2020 block population and shifted to the 2020-2022 county level. Blank = no USALEEP tract estimate (mostly new or very small-population areas). ZIP-to-ZCTA crosswalk (UDS Mapper 2022) is in the data package for matching mailing ZIPs.</t>
        </is>
      </c>
    </row>
  </sheetData>
  <mergeCells count="1">
    <mergeCell ref="A419:I41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43" min="1" max="1"/>
    <col width="70" customWidth="1" style="43" min="2" max="2"/>
    <col width="14" customWidth="1" style="43" min="3" max="3"/>
    <col width="100" customWidth="1" style="43" min="4" max="4"/>
  </cols>
  <sheetData>
    <row r="1" ht="45" customHeight="1" s="44">
      <c r="A1" s="50" t="inlineStr">
        <is>
          <t>Used for</t>
        </is>
      </c>
      <c r="B1" s="50" t="inlineStr">
        <is>
          <t>Source</t>
        </is>
      </c>
      <c r="C1" s="50" t="inlineStr">
        <is>
          <t>Date</t>
        </is>
      </c>
      <c r="D1" s="50" t="inlineStr">
        <is>
          <t>URL</t>
        </is>
      </c>
    </row>
    <row r="2" ht="57" customHeight="1" s="44">
      <c r="A2" s="46" t="inlineStr">
        <is>
          <t>Full phase-in enrollment loss, provision split</t>
        </is>
      </c>
      <c r="B2" s="46" t="inlineStr">
        <is>
          <t>RAND, "State-Level Impacts of Key Medicaid Provisions in the One Big Beautiful Bill Act" (Rao, Baker, Girosi, Li, Kerber, Eibner), RRA4098-1-v2, Appendix Table B.15 (Arizona: -327,400; work requirements -198,800; SDP/provider tax -94,200; redeterminations -65,700; immigrant -5,000; emergency FMAP -2,300; good-faith -3,200)</t>
        </is>
      </c>
      <c r="C2" s="46" t="inlineStr">
        <is>
          <t>Feb 2026; v2 June 18, 2026</t>
        </is>
      </c>
      <c r="D2" s="74" t="inlineStr">
        <is>
          <t>https://www.rand.org/pubs/research_reports/RRA4098-1-v2.html</t>
        </is>
      </c>
    </row>
    <row r="3" ht="34.5" customHeight="1" s="44">
      <c r="A3" s="46" t="inlineStr">
        <is>
          <t>Uncertainty band; uninsured cross-check (290,000)</t>
        </is>
      </c>
      <c r="B3" s="46" t="inlineStr">
        <is>
          <t>KFF, "How Will the 2025 Reconciliation Law Affect the Uninsured Rate in Each State?" — Arizona: +330,000 uninsured by 2034 (range 250,000-410,000), of which 290,000 from Medicaid provisions</t>
        </is>
      </c>
      <c r="C3" s="46" t="inlineStr">
        <is>
          <t>Aug 20, 2025</t>
        </is>
      </c>
      <c r="D3" s="74" t="inlineStr">
        <is>
          <t>https://www.kff.org/uninsured/how-will-the-2025-reconciliation-law-affect-the-uninsured-rate-in-each-state/</t>
        </is>
      </c>
    </row>
    <row r="4" ht="45.75" customHeight="1" s="44">
      <c r="A4" s="46" t="inlineStr">
        <is>
          <t>Near-term enrollment loss (2028)</t>
        </is>
      </c>
      <c r="B4" s="46" t="inlineStr">
        <is>
          <t>Urban Institute / RWJF, "Projected Reductions in Medicaid Expansion Enrollment Under OBBBA's Work Requirements and Six-Month Redeterminations" (Buettgens, Karpman, Haley, Carter, Kenney), Table 3 and Appendix Table A.2 — Arizona -123,000 / -197,000 / -246,000</t>
        </is>
      </c>
      <c r="C4" s="46" t="inlineStr">
        <is>
          <t>Mar 25, 2026</t>
        </is>
      </c>
      <c r="D4" s="74" t="inlineStr">
        <is>
          <t>https://www.urban.org/research/publication/projected-reductions-medicaid-expansion-enrollment-under-obbbas-work</t>
        </is>
      </c>
    </row>
    <row r="5" ht="34.5" customHeight="1" s="44">
      <c r="A5" s="46" t="inlineStr">
        <is>
          <t>Immigrant provision count</t>
        </is>
      </c>
      <c r="B5" s="46" t="inlineStr">
        <is>
          <t>Arizona Public Health Association (Will Humble), "Arizona's First H.R. 1 Medicaid Cuts Arrive October 1" — AHCCCS sent advance notices to ~22,263 members; ~12,000 SSI recipients under separate review</t>
        </is>
      </c>
      <c r="C5" s="46" t="inlineStr">
        <is>
          <t>Aug 31, 2026</t>
        </is>
      </c>
      <c r="D5" s="74" t="inlineStr">
        <is>
          <t>https://azpha.org/2026/08/31/arizonas-first-h-r-1-medicaid-cuts-arrive-october-1-refugees-asylees-other-legally-present-people-are-1st-in-line-for-cuts/</t>
        </is>
      </c>
    </row>
    <row r="6" ht="34.5" customHeight="1" s="44">
      <c r="A6" s="46" t="inlineStr">
        <is>
          <t>State budget-staff estimate (context)</t>
        </is>
      </c>
      <c r="B6" s="46" t="inlineStr">
        <is>
          <t>JLBC Staff, "Analysis of the Federal Budget Reconciliation Bill (H.R. 1) on Arizona State Budget" — 171,000 fewer members by FY 2030 (144,000 work requirements + 27,000 redeterminations); expansion base 435,000 (Nov 2025)</t>
        </is>
      </c>
      <c r="C6" s="46" t="inlineStr">
        <is>
          <t>Jan 8, 2026</t>
        </is>
      </c>
      <c r="D6" s="74" t="inlineStr">
        <is>
          <t>https://www.azjlbc.gov/revenues/2025federalbudgetreconciliationbill-stateimpact0108.pdf</t>
        </is>
      </c>
    </row>
    <row r="7" ht="34.5" customHeight="1" s="44">
      <c r="A7" s="46" t="inlineStr">
        <is>
          <t>Federal funding loss (context)</t>
        </is>
      </c>
      <c r="B7" s="46" t="inlineStr">
        <is>
          <t>KFF, "Allocating CBO's Estimates of Federal Medicaid Spending Reductions Across the States: Enacted Reconciliation Package" — Arizona -$34.5 billion FFY 2025-2034 (range $25.9B-$43.1B), 18% of baseline</t>
        </is>
      </c>
      <c r="C7" s="46" t="inlineStr">
        <is>
          <t>Jul 23, 2025</t>
        </is>
      </c>
      <c r="D7" s="74" t="inlineStr">
        <is>
          <t>https://www.kff.org/medicaid/allocating-cbos-estimates-of-federal-medicaid-spending-reductions-across-the-states-enacted-reconciliation-package/</t>
        </is>
      </c>
    </row>
    <row r="8" ht="34.5" customHeight="1" s="44">
      <c r="A8" s="46" t="inlineStr">
        <is>
          <t>Uninsured-per-enrollee ratio</t>
        </is>
      </c>
      <c r="B8" s="46" t="inlineStr">
        <is>
          <t>KFF, "Allocating CBO's Estimates of Federal Medicaid Spending Reductions and Enrollment Loss Across the States" — CBO: 10.3 million fewer enrollees, 7.8 million more uninsured (House-passed bill)</t>
        </is>
      </c>
      <c r="C8" s="46" t="inlineStr">
        <is>
          <t>Jun 4, 2025</t>
        </is>
      </c>
      <c r="D8" s="74" t="inlineStr">
        <is>
          <t>https://www.kff.org/medicaid/allocating-cbos-estimates-of-federal-medicaid-spending-reductions-and-enrollment-loss-across-the-states/</t>
        </is>
      </c>
    </row>
    <row r="9" ht="34.5" customHeight="1" s="44">
      <c r="A9" s="46" t="inlineStr">
        <is>
          <t>CBO provision-level uninsured (context)</t>
        </is>
      </c>
      <c r="B9" s="46" t="inlineStr">
        <is>
          <t>CBO, Supplemental cost estimate, P.L. 119-21 Medicaid provisions — work requirements 5.3M, provider taxes 1.1M, redeterminations 0.7M, streamlining moratorium 0.4M; total 7.5M uninsured in 2034</t>
        </is>
      </c>
      <c r="C9" s="46" t="inlineStr">
        <is>
          <t>Oct 28, 2025</t>
        </is>
      </c>
      <c r="D9" s="74" t="inlineStr">
        <is>
          <t>https://www.cbo.gov/system/files/2025-10/PL-119-21-Medicaid%20_0.pdf</t>
        </is>
      </c>
    </row>
    <row r="10" ht="34.5" customHeight="1" s="44">
      <c r="A10" s="46" t="inlineStr">
        <is>
          <t>AIAN exemption</t>
        </is>
      </c>
      <c r="B10" s="46" t="inlineStr">
        <is>
          <t>CMS, Section 71119 Community Engagement Requirement overview; CMS interim final rule fact sheet (June 1, 2026) — exempts Indians/IHS-eligible individuals, parents of children under 14, medically frail</t>
        </is>
      </c>
      <c r="C10" s="46" t="inlineStr">
        <is>
          <t>Jun 1, 2026</t>
        </is>
      </c>
      <c r="D10" s="74" t="inlineStr">
        <is>
          <t>https://www.cms.gov/newsroom/fact-sheets/medicaid-community-engagement-requirement-certain-individuals-interim-final-rule-comment-period-cms</t>
        </is>
      </c>
    </row>
    <row r="11" ht="23.25" customHeight="1" s="44">
      <c r="A11" s="46" t="inlineStr">
        <is>
          <t>Current AHCCCS enrollment</t>
        </is>
      </c>
      <c r="B11" s="46" t="inlineStr">
        <is>
          <t>AHCCCS, Population by Category / by County, Aug 1 2026 (total 1,771,977; Prop 204 346,960; Adult Expansion 53,005)</t>
        </is>
      </c>
      <c r="C11" s="46" t="inlineStr">
        <is>
          <t>Aug 6, 2026</t>
        </is>
      </c>
      <c r="D11" s="74" t="inlineStr">
        <is>
          <t>https://www.azahcccs.gov/Resources/Downloads/PopulationStatistics/PopulationbyCategory08062026.pdf</t>
        </is>
      </c>
    </row>
    <row r="12" ht="23.25" customHeight="1" s="44">
      <c r="A12" s="46" t="inlineStr">
        <is>
          <t>Expansion enrollment by congressional district (calibration)</t>
        </is>
      </c>
      <c r="B12" s="46" t="inlineStr">
        <is>
          <t>Health Management Associates for AHCCCS, "AHCCCS Data to Inform Potential Federal Medicaid Changes — by Congressional District", Table 1</t>
        </is>
      </c>
      <c r="C12" s="46" t="inlineStr">
        <is>
          <t>Apr 2025 (Jan 1 2025 data)</t>
        </is>
      </c>
      <c r="D12" s="74" t="inlineStr">
        <is>
          <t>https://www.azahcccs.gov/AHCCCS/Downloads/AHCCCS_Data_to_Inform_by_Congressional%20District.pdf</t>
        </is>
      </c>
    </row>
    <row r="13" ht="23.25" customHeight="1" s="44">
      <c r="A13" s="46" t="inlineStr">
        <is>
          <t>AHCCCS population at risk (context)</t>
        </is>
      </c>
      <c r="B13" s="46" t="inlineStr">
        <is>
          <t>AHCCCS, H.R. 1 presentation to the Arizona Rural Health Conference — 429,199 expansion adults; 176,734 exempt; 252,465 non-exempt; 190,831 must report</t>
        </is>
      </c>
      <c r="C13" s="46" t="inlineStr">
        <is>
          <t>Jun 2, 2026</t>
        </is>
      </c>
      <c r="D13" s="74" t="inlineStr">
        <is>
          <t>https://crh.arizona.edu/sites/default/files/2026-06/AZ-Rural-Health-Conference-AHCCCS-HR1-FINAL-1.pdf</t>
        </is>
      </c>
    </row>
    <row r="14" ht="34.5" customHeight="1" s="44">
      <c r="A14" s="46" t="inlineStr">
        <is>
          <t>Medicaid coverage by district, age, disability, citizenship, birthplace</t>
        </is>
      </c>
      <c r="B14" s="46" t="inlineStr">
        <is>
          <t>U.S. Census Bureau, ACS 2020-2024 5-year, Table-Based Summary File: tables B01003, C27007, B27010, B27001, B27003, B18135, B27020, B05006 for Arizona tracts and state legislative districts (upper)</t>
        </is>
      </c>
      <c r="C14" s="46" t="inlineStr">
        <is>
          <t>Dec 2025 release</t>
        </is>
      </c>
      <c r="D14" s="74" t="inlineStr">
        <is>
          <t>https://www2.census.gov/programs-surveys/acs/summary_file/2024/table-based-SF/</t>
        </is>
      </c>
    </row>
    <row r="15" ht="34.5" customHeight="1" s="44">
      <c r="A15" s="46" t="inlineStr">
        <is>
          <t>Block geography, populations, AIAN adults</t>
        </is>
      </c>
      <c r="B15" s="46" t="inlineStr">
        <is>
          <t>U.S. Census Bureau, 2020 PL 94-171 Redistricting Data (Arizona), 2022 State Legislative District Block Equivalency File, 118th Congressional District BEF, 2020 ZCTA/tract relationship files</t>
        </is>
      </c>
      <c r="C15" s="46" t="inlineStr">
        <is>
          <t>2021-2023</t>
        </is>
      </c>
      <c r="D15" s="74" t="inlineStr">
        <is>
          <t>https://www.census.gov/geographies/mapping-files/2023/dec/rdo/2022-state-legislative-bef.html</t>
        </is>
      </c>
    </row>
    <row r="16" ht="34.5" customHeight="1" s="44">
      <c r="A16" s="46" t="inlineStr">
        <is>
          <t>Legislative district map (cross-check)</t>
        </is>
      </c>
      <c r="B16" s="46" t="inlineStr">
        <is>
          <t>Arizona Independent Redistricting Commission, Official Legislative Map v17.0 (adopted Jan 21, 2022) — district populations reproduced exactly from the Census BEF</t>
        </is>
      </c>
      <c r="C16" s="46" t="inlineStr">
        <is>
          <t>Jan 2022</t>
        </is>
      </c>
      <c r="D16" s="74" t="inlineStr">
        <is>
          <t>https://redistricting-irc-az.hub.arcgis.com/pages/official-maps</t>
        </is>
      </c>
    </row>
    <row r="17" ht="23.25" customHeight="1" s="44">
      <c r="A17" s="46" t="inlineStr">
        <is>
          <t>Tract life expectancy</t>
        </is>
      </c>
      <c r="B17" s="46" t="inlineStr">
        <is>
          <t>CDC/NCHS, U.S. Small-Area Life Expectancy Estimates Project (USALEEP), 2010-2015, Arizona census tracts; methodology Vital Health Stat 2(181)</t>
        </is>
      </c>
      <c r="C17" s="46" t="inlineStr">
        <is>
          <t>2018</t>
        </is>
      </c>
      <c r="D17" s="74" t="inlineStr">
        <is>
          <t>https://www.cdc.gov/nchs/nvss/usaleep/usaleep.html</t>
        </is>
      </c>
    </row>
    <row r="18" ht="23.25" customHeight="1" s="44">
      <c r="A18" s="46" t="inlineStr">
        <is>
          <t>County life expectancy anchor</t>
        </is>
      </c>
      <c r="B18" s="46" t="inlineStr">
        <is>
          <t>County Health Rankings &amp; Roadmaps 2025, Arizona data (life expectancy from NCHS mortality files 2020-2022); CHR 2021 (2017-2019) for the reference column</t>
        </is>
      </c>
      <c r="C18" s="46" t="inlineStr">
        <is>
          <t>2025; 2021</t>
        </is>
      </c>
      <c r="D18" s="74" t="inlineStr">
        <is>
          <t>https://www.countyhealthrankings.org/</t>
        </is>
      </c>
    </row>
    <row r="19" ht="15" customHeight="1" s="44">
      <c r="A19" s="46" t="inlineStr">
        <is>
          <t>State life table</t>
        </is>
      </c>
      <c r="B19" s="46" t="inlineStr">
        <is>
          <t>NCHS, "U.S. State Life Tables, 2022", NVSR 74(12), Table AZ-1 — Arizona e0 76.7</t>
        </is>
      </c>
      <c r="C19" s="46" t="inlineStr">
        <is>
          <t>Dec 2025</t>
        </is>
      </c>
      <c r="D19" s="74" t="inlineStr">
        <is>
          <t>https://www.cdc.gov/nchs/data/nvsr/nvsr74/nvsr74-12.pdf</t>
        </is>
      </c>
    </row>
    <row r="20" ht="34.5" customHeight="1" s="44">
      <c r="A20" s="46" t="inlineStr">
        <is>
          <t>Mortality effect — low</t>
        </is>
      </c>
      <c r="B20" s="46" t="inlineStr">
        <is>
          <t>Sommers BD, Long SK, Baicker K. Changes in mortality after Massachusetts health care reform. Ann Intern Med 2014;160:585-593 — NNT 830 adults gaining coverage per death prevented per year</t>
        </is>
      </c>
      <c r="C20" s="46" t="inlineStr">
        <is>
          <t>2014</t>
        </is>
      </c>
      <c r="D20" s="74" t="inlineStr">
        <is>
          <t>https://www.acpjournals.org/doi/10.7326/m13-2275</t>
        </is>
      </c>
    </row>
    <row r="21" ht="34.5" customHeight="1" s="44">
      <c r="A21" s="46" t="inlineStr">
        <is>
          <t>Mortality effect — central</t>
        </is>
      </c>
      <c r="B21" s="46" t="inlineStr">
        <is>
          <t>Gaffney A, Himmelstein DU, Woolhandler S. Projected effects of proposed cuts in federal Medicaid expenditures... Ann Intern Med 2025;178:1334-1342 — 7.6M uninsured, 16,642 deaths/yr (implied 2.2 per 1,000)</t>
        </is>
      </c>
      <c r="C21" s="46" t="inlineStr">
        <is>
          <t>2025</t>
        </is>
      </c>
      <c r="D21" s="74" t="inlineStr">
        <is>
          <t>https://www.acpjournals.org/doi/10.7326/ANNALS-25-00716</t>
        </is>
      </c>
    </row>
    <row r="22" ht="34.5" customHeight="1" s="44">
      <c r="A22" s="46" t="inlineStr">
        <is>
          <t>Mortality effect — high</t>
        </is>
      </c>
      <c r="B22" s="46" t="inlineStr">
        <is>
          <t>Sommers BD. State Medicaid expansions and mortality, revisited: a cost-benefit analysis. Am J Health Econ 2017;3:392-421 — one life saved annually per 239-316 adults gaining insurance</t>
        </is>
      </c>
      <c r="C22" s="46" t="inlineStr">
        <is>
          <t>2017</t>
        </is>
      </c>
      <c r="D22" s="74" t="inlineStr">
        <is>
          <t>https://www.journals.uchicago.edu/doi/10.1162/ajhe_a_00080</t>
        </is>
      </c>
    </row>
    <row r="23" ht="45.75" customHeight="1" s="44">
      <c r="A23" s="46" t="inlineStr">
        <is>
          <t>Mortality effect — corroborating</t>
        </is>
      </c>
      <c r="B23" s="46" t="inlineStr">
        <is>
          <t>Wyse A, Meyer BD. Saved by Medicaid. NBER WP 33719 — Medicaid reduced enrollee mortality hazard ~21% (ages 19-59); Miller, Johnson &amp; Wherry, QJE 2021 — 9.4% mortality reduction, low-income adults 55-64; Yale/Penn LDI memo (Galvani, Werner) — 42,500 deaths/yr from bill provisions</t>
        </is>
      </c>
      <c r="C23" s="46" t="inlineStr">
        <is>
          <t>2025; 2021; 2025</t>
        </is>
      </c>
      <c r="D23" s="74" t="inlineStr">
        <is>
          <t>https://www.nber.org/papers/w33719</t>
        </is>
      </c>
    </row>
    <row r="24" ht="23.25" customHeight="1" s="44">
      <c r="A24" s="46" t="inlineStr">
        <is>
          <t>Independent audit</t>
        </is>
      </c>
      <c r="B24" s="46" t="inlineStr">
        <is>
          <t>Independent statistical audit of this model (recomputation, source verification, logic review); findings and remaining caveats summarized in Method &amp; Caveats</t>
        </is>
      </c>
      <c r="C24" s="46" t="inlineStr">
        <is>
          <t>Sep 4, 2026</t>
        </is>
      </c>
      <c r="D24" s="74" t="inlineStr">
        <is>
          <t>research/audit_report.md (in data package)</t>
        </is>
      </c>
    </row>
  </sheetData>
  <hyperlinks>
    <hyperlink xmlns:r="http://schemas.openxmlformats.org/officeDocument/2006/relationships" ref="D2" display="https://www.rand.org/pubs/research_reports/RRA4098-1-v2.html" r:id="rId1"/>
    <hyperlink xmlns:r="http://schemas.openxmlformats.org/officeDocument/2006/relationships" ref="D3" display="https://www.kff.org/uninsured/how-will-the-2025-reconciliation-law-affect-the-uninsured-rate-in-each-state/" r:id="rId2"/>
    <hyperlink xmlns:r="http://schemas.openxmlformats.org/officeDocument/2006/relationships" ref="D4" display="https://www.urban.org/research/publication/projected-reductions-medicaid-expansion-enrollment-under-obbbas-work" r:id="rId3"/>
    <hyperlink xmlns:r="http://schemas.openxmlformats.org/officeDocument/2006/relationships" ref="D5" display="https://azpha.org/2026/08/31/arizonas-first-h-r-1-medicaid-cuts-arrive-october-1-refugees-asylees-other-legally-present-people-are-1st-in-line-for-cuts/" r:id="rId4"/>
    <hyperlink xmlns:r="http://schemas.openxmlformats.org/officeDocument/2006/relationships" ref="D6" display="https://www.azjlbc.gov/revenues/2025federalbudgetreconciliationbill-stateimpact0108.pdf" r:id="rId5"/>
    <hyperlink xmlns:r="http://schemas.openxmlformats.org/officeDocument/2006/relationships" ref="D7" display="https://www.kff.org/medicaid/allocating-cbos-estimates-of-federal-medicaid-spending-reductions-across-the-states-enacted-reconciliation-package/" r:id="rId6"/>
    <hyperlink xmlns:r="http://schemas.openxmlformats.org/officeDocument/2006/relationships" ref="D8" display="https://www.kff.org/medicaid/allocating-cbos-estimates-of-federal-medicaid-spending-reductions-and-enrollment-loss-across-the-states/" r:id="rId7"/>
    <hyperlink xmlns:r="http://schemas.openxmlformats.org/officeDocument/2006/relationships" ref="D9" display="https://www.cbo.gov/system/files/2025-10/PL-119-21-Medicaid%20_0.pdf" r:id="rId8"/>
    <hyperlink xmlns:r="http://schemas.openxmlformats.org/officeDocument/2006/relationships" ref="D10" display="https://www.cms.gov/newsroom/fact-sheets/medicaid-community-engagement-requirement-certain-individuals-interim-final-rule-comment-period-cms" r:id="rId9"/>
    <hyperlink xmlns:r="http://schemas.openxmlformats.org/officeDocument/2006/relationships" ref="D11" display="https://www.azahcccs.gov/Resources/Downloads/PopulationStatistics/PopulationbyCategory08062026.pdf" r:id="rId10"/>
    <hyperlink xmlns:r="http://schemas.openxmlformats.org/officeDocument/2006/relationships" ref="D12" display="https://www.azahcccs.gov/AHCCCS/Downloads/AHCCCS_Data_to_Inform_by_Congressional%20District.pdf" r:id="rId11"/>
    <hyperlink xmlns:r="http://schemas.openxmlformats.org/officeDocument/2006/relationships" ref="D13" display="https://crh.arizona.edu/sites/default/files/2026-06/AZ-Rural-Health-Conference-AHCCCS-HR1-FINAL-1.pdf" r:id="rId12"/>
    <hyperlink xmlns:r="http://schemas.openxmlformats.org/officeDocument/2006/relationships" ref="D14" display="https://www2.census.gov/programs-surveys/acs/summary_file/2024/table-based-SF/" r:id="rId13"/>
    <hyperlink xmlns:r="http://schemas.openxmlformats.org/officeDocument/2006/relationships" ref="D15" display="https://www.census.gov/geographies/mapping-files/2023/dec/rdo/2022-state-legislative-bef.html" r:id="rId14"/>
    <hyperlink xmlns:r="http://schemas.openxmlformats.org/officeDocument/2006/relationships" ref="D16" display="https://redistricting-irc-az.hub.arcgis.com/pages/official-maps" r:id="rId15"/>
    <hyperlink xmlns:r="http://schemas.openxmlformats.org/officeDocument/2006/relationships" ref="D17" display="https://www.cdc.gov/nchs/nvss/usaleep/usaleep.html" r:id="rId16"/>
    <hyperlink xmlns:r="http://schemas.openxmlformats.org/officeDocument/2006/relationships" ref="D18" display="https://www.countyhealthrankings.org/" r:id="rId17"/>
    <hyperlink xmlns:r="http://schemas.openxmlformats.org/officeDocument/2006/relationships" ref="D19" display="https://www.cdc.gov/nchs/data/nvsr/nvsr74/nvsr74-12.pdf" r:id="rId18"/>
    <hyperlink xmlns:r="http://schemas.openxmlformats.org/officeDocument/2006/relationships" ref="D20" display="https://www.acpjournals.org/doi/10.7326/m13-2275" r:id="rId19"/>
    <hyperlink xmlns:r="http://schemas.openxmlformats.org/officeDocument/2006/relationships" ref="D21" display="https://www.acpjournals.org/doi/10.7326/ANNALS-25-00716" r:id="rId20"/>
    <hyperlink xmlns:r="http://schemas.openxmlformats.org/officeDocument/2006/relationships" ref="D22" display="https://www.journals.uchicago.edu/doi/10.1162/ajhe_a_00080" r:id="rId21"/>
    <hyperlink xmlns:r="http://schemas.openxmlformats.org/officeDocument/2006/relationships" ref="D23" display="https://www.nber.org/papers/w33719" r:id="rId2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A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43" min="1" max="1"/>
  </cols>
  <sheetData>
    <row r="1" ht="15" customHeight="1" s="44">
      <c r="A1" s="47" t="inlineStr">
        <is>
          <t>METHOD</t>
        </is>
      </c>
    </row>
    <row r="2" ht="45.75" customHeight="1" s="44">
      <c r="A2" s="46" t="inlineStr">
        <is>
          <t>1. Statewide anchors. Near term: Urban Institute's 2028 projection of Arizona expansion-enrollment decline from the Jan. 1, 2027 work requirement and six-month renewals (123,000 / 197,000 / 246,000 under high / medium / low state mitigation), plus AHCCCS's 22,263 advance notices for the Oct. 1, 2026 immigrant-eligibility change. Full phase-in: RAND's 2034 projection of -327,400 AHCCCS enrollees, with RAND's provision breakdown; the low/high envelope applies KFF/CBO's Arizona uncertainty band (-24% / +24%).</t>
        </is>
      </c>
    </row>
    <row r="3" ht="79.5" customHeight="1" s="44">
      <c r="A3" s="46" t="inlineStr">
        <is>
          <t>2. District allocation. ACS 2020-2024 tract estimates were spread to 2020 census blocks by population and summed to the 30 legislative districts (Census 2022 SLDU block file; district populations match the IRC map exactly). Work-requirement losses use adults 19-64 with Medicaid, excluding Medicare dual-eligibles, adults reporting a disability, and American Indians (exempt by statute; AIAN identified from 2020 Census adult counts and the 40.4% adult Medicaid rate observed in AIAN-majority tracts). Six-month-renewal losses use the same key without the AIAN exclusion. Provider-tax-driven losses use all adults 19-64 with Medicaid. The immigrant provision uses noncitizens with public coverage, down-weighted by the share of the foreign-born population born in Mexico, Cuba or Haiti (groups that keep eligibility). Keys were calibrated to AHCCCS expansion enrollment by congressional district (Jan 2025; factors 0.90-1.12) and total enrollment by county (Aug 2026).</t>
        </is>
      </c>
    </row>
    <row r="4" ht="23.25" customHeight="1" s="44">
      <c r="A4" s="46" t="inlineStr">
        <is>
          <t>3. Uninsured. 0.757 uninsured per enrollee lost (CBO). Deaths: uninsured x 1.2 / 2.2 / 3.6 per 1,000 per year, distributed across ages 19-64 in proportion to the district's age profile of adults with public coverage and Arizona's age-specific death rates (constant c solved so the statewide rate equals the literature value).</t>
        </is>
      </c>
    </row>
    <row r="5" ht="34.5" customHeight="1" s="44">
      <c r="A5" s="46" t="inlineStr">
        <is>
          <t>4. Life expectancy. Baseline: USALEEP tract estimates (2010-2015) shifted to County Health Rankings 2025 county values (NCHS 2020-2022) and population-weighted to districts (statewide 76.73 = NCHS 2022 Arizona 76.7). Impact: Arizona 2022 single-year life table scaled to each district's baseline; death rates at ages 19-64 raised by additional deaths / population in each band; e0 recomputed.</t>
        </is>
      </c>
    </row>
    <row r="6" ht="15" customHeight="1" s="44">
      <c r="A6" s="46" t="n"/>
    </row>
    <row r="7" ht="15" customHeight="1" s="44">
      <c r="A7" s="47" t="inlineStr">
        <is>
          <t>CAVEATS (from the independent audit — every one applies)</t>
        </is>
      </c>
    </row>
    <row r="8" ht="15" customHeight="1" s="44">
      <c r="A8" s="46" t="inlineStr">
        <is>
          <t>a. District figures are allocations of statewide projections, not observed counts; AHCCCS publishes no legislative-district or ZIP enrollment.</t>
        </is>
      </c>
    </row>
    <row r="9" ht="34.5" customHeight="1" s="44">
      <c r="A9" s="46" t="inlineStr">
        <is>
          <t>b. Exemptions other than AIAN — parents of children under 14, medically frail, pregnant/postpartum (about 40% of expansion adults per AHCCCS) — cannot be located geographically with ACS; districts with many low-income families may be somewhat over-allocated and districts with more childless adults under-allocated. The congressional-district calibration corrects this only at the 9-district level.</t>
        </is>
      </c>
    </row>
    <row r="10" ht="23.25" customHeight="1" s="44">
      <c r="A10" s="46" t="inlineStr">
        <is>
          <t>c. 26% of the 2034 loss is RAND's assumption that Arizona trims optional eligibility as provider-tax revenue falls; JLBC projects reduced hospital payments, not enrollment loss, from that provision. The "excluding provider-tax component" column shows results without it.</t>
        </is>
      </c>
    </row>
    <row r="11" ht="15" customHeight="1" s="44">
      <c r="A11" s="46" t="inlineStr">
        <is>
          <t>d. The uninsured conversion (0.757) is conservative relative to KFF's 290,000 Arizona figure; deaths and life-expectancy effects would be ~17% larger using KFF.</t>
        </is>
      </c>
    </row>
    <row r="12" ht="15" customHeight="1" s="44">
      <c r="A12" s="46" t="inlineStr">
        <is>
          <t>e. The immigrant-provision figure is a count of notices, not projected losses; refugee/asylee geography is approximated.</t>
        </is>
      </c>
    </row>
    <row r="13" ht="23.25" customHeight="1" s="44">
      <c r="A13" s="46" t="inlineStr">
        <is>
          <t>f. Mortality evidence comes from coverage gains; symmetry for losses is assumed (as in every published H.R. 1 projection). Pre-ACA evidence behind the high estimate is contested (Koumpias et al. 2024); Wyse &amp; Meyer is a working paper. Effects grow over 3-4 years, so first-year deaths are below steady state.</t>
        </is>
      </c>
    </row>
    <row r="14" ht="15" customHeight="1" s="44">
      <c r="A14" s="46" t="inlineStr">
        <is>
          <t>g. Death rates are pinned to the literature statewide; the modest district variation (1.9-2.8 per 1,000) reflects age profile only.</t>
        </is>
      </c>
    </row>
    <row r="15" ht="23.25" customHeight="1" s="44">
      <c r="A15" s="46" t="inlineStr">
        <is>
          <t>h. Baseline life expectancy embeds pandemic-period mortality (2020-2022); Apache, Navajo and Gila county shifts of -8.5 to -11.9 years drive the low baselines in LDs 6 and 7. USALEEP covers 62-100% of district population (lowest in fast-growing LDs 28, 22, 14); uncovered new tracts are assumed to match covered ones.</t>
        </is>
      </c>
    </row>
    <row r="16" ht="23.25" customHeight="1" s="44">
      <c r="A16" s="46" t="inlineStr">
        <is>
          <t>i. Life-expectancy change is a period life-table effect (what e0 would be if the excess mortality persisted), not years of life lost by current residents. Low/High combine extremes and are an envelope, not a confidence interval; ACS sampling error is not propagated.</t>
        </is>
      </c>
    </row>
    <row r="17" ht="23.25" customHeight="1" s="44">
      <c r="A17" s="46" t="inlineStr">
        <is>
          <t>j. Excluded: ACA marketplace coverage losses (enhanced tax-credit expiration; ~66,000 fewer Arizona plan selections in 2026), effects of hospital/clinic closures and provider payment cuts, and SNAP-related health effects. Enrollment already fell 9% (Aug 2025-Aug 2026) for reasons unrelated to H.R. 1 eligibility rules.</t>
        </is>
      </c>
    </row>
    <row r="18" ht="23.25" customHeight="1" s="44">
      <c r="A18" s="46" t="inlineStr">
        <is>
          <t>k. Independent audit (Sept 4, 2026) reproduced every allocation, life-table and calibration figure from scratch and confirmed all 13 spot-checked source claims against live sources; its two critical/major methodological findings (AIAN exemption; district-scaled death rates) were corrected in this version.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0" customWidth="1" style="43" min="1" max="1"/>
    <col width="16" customWidth="1" style="43" min="2" max="2"/>
    <col width="90" customWidth="1" style="43" min="3" max="3"/>
  </cols>
  <sheetData>
    <row r="1" ht="15" customHeight="1" s="44">
      <c r="A1" s="75" t="inlineStr">
        <is>
          <t>Hospital assessment step-down under H.R. 1 Sec. 71115 — inputs</t>
        </is>
      </c>
    </row>
    <row r="2"/>
    <row r="3" ht="15" customHeight="1" s="44">
      <c r="A3" s="51" t="inlineStr">
        <is>
          <t>Current assessment rate (SFY 2026, effectively at the 6.0% federal ceiling)</t>
        </is>
      </c>
      <c r="B3" s="65" t="n">
        <v>0.06</v>
      </c>
      <c r="C3" s="46" t="inlineStr">
        <is>
          <t>AHCCCS / JLBC; CSPA one-pager Sept 4 2026 (5.999%)</t>
        </is>
      </c>
    </row>
    <row r="4" ht="15" customHeight="1" s="44">
      <c r="A4" s="51" t="inlineStr">
        <is>
          <t>Ceiling FFY 2028 (Oct 1 2027)</t>
        </is>
      </c>
      <c r="B4" s="65" t="n">
        <v>0.055</v>
      </c>
      <c r="C4" s="46" t="inlineStr">
        <is>
          <t>P.L. 119-21 Sec. 71115: -0.5 pt per year for expansion states</t>
        </is>
      </c>
    </row>
    <row r="5" ht="15" customHeight="1" s="44">
      <c r="A5" s="51" t="inlineStr">
        <is>
          <t>Ceiling FFY 2029</t>
        </is>
      </c>
      <c r="B5" s="65" t="n">
        <v>0.05</v>
      </c>
      <c r="C5" s="46" t="n"/>
    </row>
    <row r="6" ht="15" customHeight="1" s="44">
      <c r="A6" s="51" t="inlineStr">
        <is>
          <t>Ceiling FFY 2030</t>
        </is>
      </c>
      <c r="B6" s="65" t="n">
        <v>0.045</v>
      </c>
      <c r="C6" s="46" t="n"/>
    </row>
    <row r="7" ht="15" customHeight="1" s="44">
      <c r="A7" s="51" t="inlineStr">
        <is>
          <t>Ceiling FFY 2031</t>
        </is>
      </c>
      <c r="B7" s="65" t="n">
        <v>0.04</v>
      </c>
      <c r="C7" s="46" t="n"/>
    </row>
    <row r="8" ht="15" customHeight="1" s="44">
      <c r="A8" s="51" t="inlineStr">
        <is>
          <t>Ceiling FFY 2032 and after</t>
        </is>
      </c>
      <c r="B8" s="65" t="n">
        <v>0.035</v>
      </c>
      <c r="C8" s="46" t="inlineStr">
        <is>
          <t>Frozen at 3.5%</t>
        </is>
      </c>
    </row>
    <row r="9" ht="15" customHeight="1" s="44">
      <c r="A9" s="51" t="inlineStr">
        <is>
          <t>SFY 2025 assessment collected, all hospitals (HAF + HCIF)</t>
        </is>
      </c>
      <c r="B9" s="76" t="n">
        <v>1355127332.05</v>
      </c>
      <c r="C9" s="46" t="inlineStr">
        <is>
          <t>AHCCCS SFY 2025 Hospital Assessment Report (June 1 2026), totals of both tables</t>
        </is>
      </c>
    </row>
    <row r="10" ht="15" customHeight="1" s="44">
      <c r="A10" s="51" t="inlineStr">
        <is>
          <t>SFY 2025 payments funded by the assessment (coverage + HEALTHII)</t>
        </is>
      </c>
      <c r="B10" s="76" t="n">
        <v>4324555409.63</v>
      </c>
      <c r="C10" s="46" t="inlineStr">
        <is>
          <t>Same report: $1,498,893,446.63 coverage + $2,825,661,963 HEALTHII</t>
        </is>
      </c>
    </row>
    <row r="11" ht="15" customHeight="1" s="44">
      <c r="A11" s="51" t="inlineStr">
        <is>
          <t>Number of facilities listed (either table)</t>
        </is>
      </c>
      <c r="B11" s="77" t="n">
        <v>134</v>
      </c>
      <c r="C11" s="46" t="inlineStr">
        <is>
          <t>Report lists 133 HAF rows and 114 HCIF rows; 134 distinct facilities after matching names across tables</t>
        </is>
      </c>
    </row>
    <row r="12" ht="15" customHeight="1" s="44">
      <c r="A12" s="51" t="inlineStr">
        <is>
          <t>Ten-year (FFY 2028-2037) factor relative to a full 3.5% year</t>
        </is>
      </c>
      <c r="B12" s="70" t="n">
        <v>8</v>
      </c>
      <c r="C12" s="46" t="inlineStr">
        <is>
          <t>0.2+0.4+0.6+0.8+1.0 for the phase-in years, then 1.0 for each of FFY 2033-2037</t>
        </is>
      </c>
    </row>
    <row r="13"/>
    <row r="14" ht="15" customHeight="1" s="44">
      <c r="A14" s="48" t="inlineStr">
        <is>
          <t>Full-year reduction factor at 3.5% = (B3-B8)/B3</t>
        </is>
      </c>
      <c r="B14" s="78">
        <f>(B3-B8)/B3</f>
        <v/>
      </c>
    </row>
    <row r="15" ht="15" customHeight="1" s="44">
      <c r="A15" s="48" t="inlineStr">
        <is>
          <t>Statewide payments lost per year at 3.5%</t>
        </is>
      </c>
      <c r="B15" s="79">
        <f>B10*B14</f>
        <v/>
      </c>
    </row>
    <row r="16" ht="15" customHeight="1" s="44">
      <c r="A16" s="48" t="inlineStr">
        <is>
          <t>Statewide assessment no longer collected per year at 3.5%</t>
        </is>
      </c>
      <c r="B16" s="79">
        <f>B9*B14</f>
        <v/>
      </c>
    </row>
    <row r="17" ht="15" customHeight="1" s="44">
      <c r="A17" s="48" t="inlineStr">
        <is>
          <t>Statewide net loss to hospitals per year at 3.5% (federal match leaving Arizona)</t>
        </is>
      </c>
      <c r="B17" s="79">
        <f>B15-B16</f>
        <v/>
      </c>
    </row>
    <row r="18" ht="15" customHeight="1" s="44">
      <c r="A18" s="48" t="inlineStr">
        <is>
          <t>Ten-year net loss FFY 2028-2037</t>
        </is>
      </c>
      <c r="B18" s="79">
        <f>B17*B12</f>
        <v/>
      </c>
    </row>
    <row r="19"/>
    <row r="20" ht="150" customHeight="1" s="44">
      <c r="A20" s="46" t="inlineStr">
        <is>
          <t>Method: each facility's SFY 2025 assessment paid and assessment-funded payments received (AHCCCS report) are scaled by the share of the 6.0% rate that H.R. 1 removes; federal matching rates held constant; constant SFY 2025 dollars. "Payments lost" is the reduction in Medicaid revenue the facility receives; "net loss" subtracts the assessment the facility no longer pays. This is the same method as the CSPA one-pager (Sept 4 2026) and ties to its statewide totals. It assumes both funds (coverage match and HEALTHII directed payments) shrink proportionally; JLBC (Jan 8 2026) instead assumes AHCCCS protects the coverage match and concentrates the cut in HEALTHII, which would shift losses toward hospitals with large HEALTHII payments. Indian Health Service and tribal (638) facilities are flagged: their Medicaid services are matched at 100% federal funds, so their payments are not funded by the assessment and are shown separately. Facilities are assigned to legislative districts by geocoding their street addresses to 2020 census blocks (Census Geocoder) and mapping blocks to the 2022 IRC districts; a hospital's patients and staff come from many districts, so district totals describe where the facilities are located.</t>
        </is>
      </c>
    </row>
  </sheetData>
  <mergeCells count="1">
    <mergeCell ref="A20:C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S13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44" customWidth="1" style="43" min="1" max="1"/>
    <col width="26" customWidth="1" style="43" min="2" max="2"/>
    <col width="14" customWidth="1" style="43" min="3" max="3"/>
    <col width="11" customWidth="1" style="43" min="4" max="4"/>
    <col width="6" customWidth="1" style="43" min="5" max="5"/>
    <col width="12" customWidth="1" style="43" min="6" max="6"/>
    <col width="15" customWidth="1" style="43" min="7" max="14"/>
    <col width="14" customWidth="1" style="43" min="15" max="15"/>
    <col width="16" customWidth="1" style="43" min="16" max="17"/>
    <col width="10" customWidth="1" style="43" min="18" max="18"/>
    <col width="40" customWidth="1" style="43" min="19" max="19"/>
  </cols>
  <sheetData>
    <row r="1" ht="48" customHeight="1" s="44">
      <c r="A1" s="50" t="inlineStr">
        <is>
          <t>Facility</t>
        </is>
      </c>
      <c r="B1" s="50" t="inlineStr">
        <is>
          <t>Hospital system</t>
        </is>
      </c>
      <c r="C1" s="50" t="inlineStr">
        <is>
          <t>City</t>
        </is>
      </c>
      <c r="D1" s="50" t="inlineStr">
        <is>
          <t>County</t>
        </is>
      </c>
      <c r="E1" s="50" t="inlineStr">
        <is>
          <t>LD</t>
        </is>
      </c>
      <c r="F1" s="50" t="inlineStr">
        <is>
          <t>IHS / tribal (100% federal match; not assessment-funded)</t>
        </is>
      </c>
      <c r="G1" s="50" t="inlineStr">
        <is>
          <t>SFY 2025 assessment paid</t>
        </is>
      </c>
      <c r="H1" s="50" t="inlineStr">
        <is>
          <t>SFY 2025 coverage payments</t>
        </is>
      </c>
      <c r="I1" s="50" t="inlineStr">
        <is>
          <t>SFY 2025 HEALTHII payments</t>
        </is>
      </c>
      <c r="J1" s="50" t="inlineStr">
        <is>
          <t>Total payments</t>
        </is>
      </c>
      <c r="K1" s="50" t="inlineStr">
        <is>
          <t>Net gain (payments - assessment)</t>
        </is>
      </c>
      <c r="L1" s="50" t="inlineStr">
        <is>
          <t>Payments lost per year at 3.5%</t>
        </is>
      </c>
      <c r="M1" s="50" t="inlineStr">
        <is>
          <t>Assessment saved per year at 3.5%</t>
        </is>
      </c>
      <c r="N1" s="50" t="inlineStr">
        <is>
          <t>Net loss per year at 3.5%</t>
        </is>
      </c>
      <c r="O1" s="50" t="inlineStr">
        <is>
          <t>Net loss, FFY 2028 (5.5%)</t>
        </is>
      </c>
      <c r="P1" s="50" t="inlineStr">
        <is>
          <t>Ten-year net loss FFY 2028-2037</t>
        </is>
      </c>
      <c r="Q1" s="50" t="inlineStr">
        <is>
          <t>Ten-year payments lost</t>
        </is>
      </c>
      <c r="R1" s="50" t="inlineStr">
        <is>
          <t>Geocode confidence</t>
        </is>
      </c>
      <c r="S1" s="50" t="inlineStr">
        <is>
          <t>Address</t>
        </is>
      </c>
    </row>
    <row r="2" ht="15" customHeight="1" s="44">
      <c r="A2" s="51" t="inlineStr">
        <is>
          <t>Banner – University Medical Center Phoenix</t>
        </is>
      </c>
      <c r="B2" s="51" t="inlineStr">
        <is>
          <t>Banner Health</t>
        </is>
      </c>
      <c r="C2" s="51" t="inlineStr">
        <is>
          <t>Phoenix</t>
        </is>
      </c>
      <c r="D2" s="51" t="inlineStr">
        <is>
          <t>Maricopa</t>
        </is>
      </c>
      <c r="E2" s="48" t="n">
        <v>5</v>
      </c>
      <c r="F2" s="51" t="n"/>
      <c r="G2" s="76" t="n">
        <v>66438126.55</v>
      </c>
      <c r="H2" s="76" t="n">
        <v>93020322.76000001</v>
      </c>
      <c r="I2" s="76" t="n">
        <v>213303893</v>
      </c>
      <c r="J2" s="79">
        <f>H2+I2</f>
        <v/>
      </c>
      <c r="K2" s="79">
        <f>J2-G2</f>
        <v/>
      </c>
      <c r="L2" s="79">
        <f>J2*'Assessment Inputs'!$B$14</f>
        <v/>
      </c>
      <c r="M2" s="79">
        <f>G2*'Assessment Inputs'!$B$14</f>
        <v/>
      </c>
      <c r="N2" s="79">
        <f>L2-M2</f>
        <v/>
      </c>
      <c r="O2" s="79">
        <f>K2*('Assessment Inputs'!$B$3-'Assessment Inputs'!$B$4)/'Assessment Inputs'!$B$3</f>
        <v/>
      </c>
      <c r="P2" s="79">
        <f>N2*'Assessment Inputs'!$B$12</f>
        <v/>
      </c>
      <c r="Q2" s="79">
        <f>L2*'Assessment Inputs'!$B$12</f>
        <v/>
      </c>
      <c r="R2" s="51" t="inlineStr">
        <is>
          <t>high</t>
        </is>
      </c>
      <c r="S2" s="51" t="inlineStr">
        <is>
          <t>1111 E McDowell Rd, Phoenix, AZ 85006</t>
        </is>
      </c>
    </row>
    <row r="3" ht="15" customHeight="1" s="44">
      <c r="A3" s="51" t="inlineStr">
        <is>
          <t>Banner – University Medical Center Tucson</t>
        </is>
      </c>
      <c r="B3" s="51" t="inlineStr">
        <is>
          <t>Banner Health</t>
        </is>
      </c>
      <c r="C3" s="51" t="inlineStr">
        <is>
          <t>Tucson</t>
        </is>
      </c>
      <c r="D3" s="51" t="inlineStr">
        <is>
          <t>Pima</t>
        </is>
      </c>
      <c r="E3" s="48" t="n">
        <v>20</v>
      </c>
      <c r="F3" s="51" t="n"/>
      <c r="G3" s="76" t="n">
        <v>58603476.84</v>
      </c>
      <c r="H3" s="76" t="n">
        <v>77566616.98999999</v>
      </c>
      <c r="I3" s="76" t="n">
        <v>220688920</v>
      </c>
      <c r="J3" s="79">
        <f>H3+I3</f>
        <v/>
      </c>
      <c r="K3" s="79">
        <f>J3-G3</f>
        <v/>
      </c>
      <c r="L3" s="79">
        <f>J3*'Assessment Inputs'!$B$14</f>
        <v/>
      </c>
      <c r="M3" s="79">
        <f>G3*'Assessment Inputs'!$B$14</f>
        <v/>
      </c>
      <c r="N3" s="79">
        <f>L3-M3</f>
        <v/>
      </c>
      <c r="O3" s="79">
        <f>K3*('Assessment Inputs'!$B$3-'Assessment Inputs'!$B$4)/'Assessment Inputs'!$B$3</f>
        <v/>
      </c>
      <c r="P3" s="79">
        <f>N3*'Assessment Inputs'!$B$12</f>
        <v/>
      </c>
      <c r="Q3" s="79">
        <f>L3*'Assessment Inputs'!$B$12</f>
        <v/>
      </c>
      <c r="R3" s="51" t="inlineStr">
        <is>
          <t>high</t>
        </is>
      </c>
      <c r="S3" s="51" t="inlineStr">
        <is>
          <t>1625 N Campbell Ave, Tucson, AZ 85719</t>
        </is>
      </c>
    </row>
    <row r="4" ht="15" customHeight="1" s="44">
      <c r="A4" s="51" t="inlineStr">
        <is>
          <t>Banner Desert Medical Center</t>
        </is>
      </c>
      <c r="B4" s="51" t="inlineStr">
        <is>
          <t>Banner Health</t>
        </is>
      </c>
      <c r="C4" s="51" t="inlineStr">
        <is>
          <t>Mesa</t>
        </is>
      </c>
      <c r="D4" s="51" t="inlineStr">
        <is>
          <t>Maricopa</t>
        </is>
      </c>
      <c r="E4" s="48" t="n">
        <v>9</v>
      </c>
      <c r="F4" s="51" t="n"/>
      <c r="G4" s="76" t="n">
        <v>45224406.58</v>
      </c>
      <c r="H4" s="76" t="n">
        <v>55424929.22</v>
      </c>
      <c r="I4" s="76" t="n">
        <v>180897534</v>
      </c>
      <c r="J4" s="79">
        <f>H4+I4</f>
        <v/>
      </c>
      <c r="K4" s="79">
        <f>J4-G4</f>
        <v/>
      </c>
      <c r="L4" s="79">
        <f>J4*'Assessment Inputs'!$B$14</f>
        <v/>
      </c>
      <c r="M4" s="79">
        <f>G4*'Assessment Inputs'!$B$14</f>
        <v/>
      </c>
      <c r="N4" s="79">
        <f>L4-M4</f>
        <v/>
      </c>
      <c r="O4" s="79">
        <f>K4*('Assessment Inputs'!$B$3-'Assessment Inputs'!$B$4)/'Assessment Inputs'!$B$3</f>
        <v/>
      </c>
      <c r="P4" s="79">
        <f>N4*'Assessment Inputs'!$B$12</f>
        <v/>
      </c>
      <c r="Q4" s="79">
        <f>L4*'Assessment Inputs'!$B$12</f>
        <v/>
      </c>
      <c r="R4" s="51" t="inlineStr">
        <is>
          <t>high</t>
        </is>
      </c>
      <c r="S4" s="51" t="inlineStr">
        <is>
          <t>1400 S Dobson Rd, Mesa, AZ 85202</t>
        </is>
      </c>
    </row>
    <row r="5" ht="15" customHeight="1" s="44">
      <c r="A5" s="51" t="inlineStr">
        <is>
          <t>St. Joseph's Hospital and Medical Center (Phoenix)</t>
        </is>
      </c>
      <c r="B5" s="51" t="inlineStr">
        <is>
          <t>Dignity Health</t>
        </is>
      </c>
      <c r="C5" s="51" t="inlineStr">
        <is>
          <t>Phoenix</t>
        </is>
      </c>
      <c r="D5" s="51" t="inlineStr">
        <is>
          <t>Maricopa</t>
        </is>
      </c>
      <c r="E5" s="48" t="n">
        <v>5</v>
      </c>
      <c r="F5" s="51" t="n"/>
      <c r="G5" s="76" t="n">
        <v>77259631.94</v>
      </c>
      <c r="H5" s="76" t="n">
        <v>67297190.92</v>
      </c>
      <c r="I5" s="76" t="n">
        <v>146519715</v>
      </c>
      <c r="J5" s="79">
        <f>H5+I5</f>
        <v/>
      </c>
      <c r="K5" s="79">
        <f>J5-G5</f>
        <v/>
      </c>
      <c r="L5" s="79">
        <f>J5*'Assessment Inputs'!$B$14</f>
        <v/>
      </c>
      <c r="M5" s="79">
        <f>G5*'Assessment Inputs'!$B$14</f>
        <v/>
      </c>
      <c r="N5" s="79">
        <f>L5-M5</f>
        <v/>
      </c>
      <c r="O5" s="79">
        <f>K5*('Assessment Inputs'!$B$3-'Assessment Inputs'!$B$4)/'Assessment Inputs'!$B$3</f>
        <v/>
      </c>
      <c r="P5" s="79">
        <f>N5*'Assessment Inputs'!$B$12</f>
        <v/>
      </c>
      <c r="Q5" s="79">
        <f>L5*'Assessment Inputs'!$B$12</f>
        <v/>
      </c>
      <c r="R5" s="51" t="inlineStr">
        <is>
          <t>high</t>
        </is>
      </c>
      <c r="S5" s="51" t="inlineStr">
        <is>
          <t>350 W Thomas Rd, Phoenix, AZ 85013</t>
        </is>
      </c>
    </row>
    <row r="6" ht="15" customHeight="1" s="44">
      <c r="A6" s="51" t="inlineStr">
        <is>
          <t>Banner Thunderbird Medical Center</t>
        </is>
      </c>
      <c r="B6" s="51" t="inlineStr">
        <is>
          <t>Banner Health</t>
        </is>
      </c>
      <c r="C6" s="51" t="inlineStr">
        <is>
          <t>Glendale</t>
        </is>
      </c>
      <c r="D6" s="51" t="inlineStr">
        <is>
          <t>Maricopa</t>
        </is>
      </c>
      <c r="E6" s="48" t="n">
        <v>27</v>
      </c>
      <c r="F6" s="51" t="n"/>
      <c r="G6" s="76" t="n">
        <v>48455135.08</v>
      </c>
      <c r="H6" s="76" t="n">
        <v>39525283.36</v>
      </c>
      <c r="I6" s="76" t="n">
        <v>146468579</v>
      </c>
      <c r="J6" s="79">
        <f>H6+I6</f>
        <v/>
      </c>
      <c r="K6" s="79">
        <f>J6-G6</f>
        <v/>
      </c>
      <c r="L6" s="79">
        <f>J6*'Assessment Inputs'!$B$14</f>
        <v/>
      </c>
      <c r="M6" s="79">
        <f>G6*'Assessment Inputs'!$B$14</f>
        <v/>
      </c>
      <c r="N6" s="79">
        <f>L6-M6</f>
        <v/>
      </c>
      <c r="O6" s="79">
        <f>K6*('Assessment Inputs'!$B$3-'Assessment Inputs'!$B$4)/'Assessment Inputs'!$B$3</f>
        <v/>
      </c>
      <c r="P6" s="79">
        <f>N6*'Assessment Inputs'!$B$12</f>
        <v/>
      </c>
      <c r="Q6" s="79">
        <f>L6*'Assessment Inputs'!$B$12</f>
        <v/>
      </c>
      <c r="R6" s="51" t="inlineStr">
        <is>
          <t>high</t>
        </is>
      </c>
      <c r="S6" s="51" t="inlineStr">
        <is>
          <t>5555 W Thunderbird Rd, Glendale, AZ 85306</t>
        </is>
      </c>
    </row>
    <row r="7" ht="15" customHeight="1" s="44">
      <c r="A7" s="51" t="inlineStr">
        <is>
          <t>Onvida Health – Yuma Regional Medical Center</t>
        </is>
      </c>
      <c r="B7" s="51" t="inlineStr">
        <is>
          <t>Onvida Health – Yuma Regional Medical Center</t>
        </is>
      </c>
      <c r="C7" s="51" t="inlineStr">
        <is>
          <t>Yuma</t>
        </is>
      </c>
      <c r="D7" s="51" t="inlineStr">
        <is>
          <t>Yuma</t>
        </is>
      </c>
      <c r="E7" s="48" t="n">
        <v>25</v>
      </c>
      <c r="F7" s="51" t="n"/>
      <c r="G7" s="76" t="n">
        <v>45267400.22</v>
      </c>
      <c r="H7" s="76" t="n">
        <v>41275310.92</v>
      </c>
      <c r="I7" s="76" t="n">
        <v>124014484</v>
      </c>
      <c r="J7" s="79">
        <f>H7+I7</f>
        <v/>
      </c>
      <c r="K7" s="79">
        <f>J7-G7</f>
        <v/>
      </c>
      <c r="L7" s="79">
        <f>J7*'Assessment Inputs'!$B$14</f>
        <v/>
      </c>
      <c r="M7" s="79">
        <f>G7*'Assessment Inputs'!$B$14</f>
        <v/>
      </c>
      <c r="N7" s="79">
        <f>L7-M7</f>
        <v/>
      </c>
      <c r="O7" s="79">
        <f>K7*('Assessment Inputs'!$B$3-'Assessment Inputs'!$B$4)/'Assessment Inputs'!$B$3</f>
        <v/>
      </c>
      <c r="P7" s="79">
        <f>N7*'Assessment Inputs'!$B$12</f>
        <v/>
      </c>
      <c r="Q7" s="79">
        <f>L7*'Assessment Inputs'!$B$12</f>
        <v/>
      </c>
      <c r="R7" s="51" t="inlineStr">
        <is>
          <t>high</t>
        </is>
      </c>
      <c r="S7" s="51" t="inlineStr">
        <is>
          <t>2400 S Avenue A, Yuma, AZ 85364</t>
        </is>
      </c>
    </row>
    <row r="8" ht="15" customHeight="1" s="44">
      <c r="A8" s="51" t="inlineStr">
        <is>
          <t>Tucson Medical Center</t>
        </is>
      </c>
      <c r="B8" s="51" t="inlineStr">
        <is>
          <t>TMC Healthcare</t>
        </is>
      </c>
      <c r="C8" s="51" t="inlineStr">
        <is>
          <t>Tucson</t>
        </is>
      </c>
      <c r="D8" s="51" t="inlineStr">
        <is>
          <t>Pima</t>
        </is>
      </c>
      <c r="E8" s="48" t="n">
        <v>18</v>
      </c>
      <c r="F8" s="51" t="n"/>
      <c r="G8" s="76" t="n">
        <v>48307845.42</v>
      </c>
      <c r="H8" s="76" t="n">
        <v>33221779.32</v>
      </c>
      <c r="I8" s="76" t="n">
        <v>127228834</v>
      </c>
      <c r="J8" s="79">
        <f>H8+I8</f>
        <v/>
      </c>
      <c r="K8" s="79">
        <f>J8-G8</f>
        <v/>
      </c>
      <c r="L8" s="79">
        <f>J8*'Assessment Inputs'!$B$14</f>
        <v/>
      </c>
      <c r="M8" s="79">
        <f>G8*'Assessment Inputs'!$B$14</f>
        <v/>
      </c>
      <c r="N8" s="79">
        <f>L8-M8</f>
        <v/>
      </c>
      <c r="O8" s="79">
        <f>K8*('Assessment Inputs'!$B$3-'Assessment Inputs'!$B$4)/'Assessment Inputs'!$B$3</f>
        <v/>
      </c>
      <c r="P8" s="79">
        <f>N8*'Assessment Inputs'!$B$12</f>
        <v/>
      </c>
      <c r="Q8" s="79">
        <f>L8*'Assessment Inputs'!$B$12</f>
        <v/>
      </c>
      <c r="R8" s="51" t="inlineStr">
        <is>
          <t>high</t>
        </is>
      </c>
      <c r="S8" s="51" t="inlineStr">
        <is>
          <t>5301 E Grant Rd, Tucson, AZ 85712</t>
        </is>
      </c>
    </row>
    <row r="9" ht="15" customHeight="1" s="44">
      <c r="A9" s="51" t="inlineStr">
        <is>
          <t>Valleywise Health Medical Center</t>
        </is>
      </c>
      <c r="B9" s="51" t="inlineStr">
        <is>
          <t>Valleywise Health</t>
        </is>
      </c>
      <c r="C9" s="51" t="inlineStr">
        <is>
          <t>Phoenix</t>
        </is>
      </c>
      <c r="D9" s="51" t="inlineStr">
        <is>
          <t>Maricopa</t>
        </is>
      </c>
      <c r="E9" s="48" t="n">
        <v>5</v>
      </c>
      <c r="F9" s="51" t="n"/>
      <c r="G9" s="76" t="n">
        <v>0</v>
      </c>
      <c r="H9" s="76" t="n">
        <v>109265737.99</v>
      </c>
      <c r="I9" s="76" t="n">
        <v>50311904</v>
      </c>
      <c r="J9" s="79">
        <f>H9+I9</f>
        <v/>
      </c>
      <c r="K9" s="79">
        <f>J9-G9</f>
        <v/>
      </c>
      <c r="L9" s="79">
        <f>J9*'Assessment Inputs'!$B$14</f>
        <v/>
      </c>
      <c r="M9" s="79">
        <f>G9*'Assessment Inputs'!$B$14</f>
        <v/>
      </c>
      <c r="N9" s="79">
        <f>L9-M9</f>
        <v/>
      </c>
      <c r="O9" s="79">
        <f>K9*('Assessment Inputs'!$B$3-'Assessment Inputs'!$B$4)/'Assessment Inputs'!$B$3</f>
        <v/>
      </c>
      <c r="P9" s="79">
        <f>N9*'Assessment Inputs'!$B$12</f>
        <v/>
      </c>
      <c r="Q9" s="79">
        <f>L9*'Assessment Inputs'!$B$12</f>
        <v/>
      </c>
      <c r="R9" s="51" t="inlineStr">
        <is>
          <t>high</t>
        </is>
      </c>
      <c r="S9" s="51" t="inlineStr">
        <is>
          <t>2601 E Roosevelt St, Phoenix, AZ 85008</t>
        </is>
      </c>
    </row>
    <row r="10" ht="15" customHeight="1" s="44">
      <c r="A10" s="51" t="inlineStr">
        <is>
          <t>HonorHealth John C. Lincoln Medical Center</t>
        </is>
      </c>
      <c r="B10" s="51" t="inlineStr">
        <is>
          <t>HonorHealth</t>
        </is>
      </c>
      <c r="C10" s="51" t="inlineStr">
        <is>
          <t>Phoenix</t>
        </is>
      </c>
      <c r="D10" s="51" t="inlineStr">
        <is>
          <t>Maricopa</t>
        </is>
      </c>
      <c r="E10" s="48" t="n">
        <v>5</v>
      </c>
      <c r="F10" s="51" t="n"/>
      <c r="G10" s="76" t="n">
        <v>49080287.56</v>
      </c>
      <c r="H10" s="76" t="n">
        <v>39775834.18</v>
      </c>
      <c r="I10" s="76" t="n">
        <v>79620462</v>
      </c>
      <c r="J10" s="79">
        <f>H10+I10</f>
        <v/>
      </c>
      <c r="K10" s="79">
        <f>J10-G10</f>
        <v/>
      </c>
      <c r="L10" s="79">
        <f>J10*'Assessment Inputs'!$B$14</f>
        <v/>
      </c>
      <c r="M10" s="79">
        <f>G10*'Assessment Inputs'!$B$14</f>
        <v/>
      </c>
      <c r="N10" s="79">
        <f>L10-M10</f>
        <v/>
      </c>
      <c r="O10" s="79">
        <f>K10*('Assessment Inputs'!$B$3-'Assessment Inputs'!$B$4)/'Assessment Inputs'!$B$3</f>
        <v/>
      </c>
      <c r="P10" s="79">
        <f>N10*'Assessment Inputs'!$B$12</f>
        <v/>
      </c>
      <c r="Q10" s="79">
        <f>L10*'Assessment Inputs'!$B$12</f>
        <v/>
      </c>
      <c r="R10" s="51" t="inlineStr">
        <is>
          <t>high</t>
        </is>
      </c>
      <c r="S10" s="51" t="inlineStr">
        <is>
          <t>250 E Dunlap Ave, Phoenix, AZ 85020</t>
        </is>
      </c>
    </row>
    <row r="11" ht="15" customHeight="1" s="44">
      <c r="A11" s="51" t="inlineStr">
        <is>
          <t>Banner Estrella Medical Center</t>
        </is>
      </c>
      <c r="B11" s="51" t="inlineStr">
        <is>
          <t>Banner Health</t>
        </is>
      </c>
      <c r="C11" s="51" t="inlineStr">
        <is>
          <t>Phoenix</t>
        </is>
      </c>
      <c r="D11" s="51" t="inlineStr">
        <is>
          <t>Maricopa</t>
        </is>
      </c>
      <c r="E11" s="48" t="n">
        <v>22</v>
      </c>
      <c r="F11" s="51" t="n"/>
      <c r="G11" s="76" t="n">
        <v>42228046.83</v>
      </c>
      <c r="H11" s="76" t="n">
        <v>27820918.9</v>
      </c>
      <c r="I11" s="76" t="n">
        <v>86782074</v>
      </c>
      <c r="J11" s="79">
        <f>H11+I11</f>
        <v/>
      </c>
      <c r="K11" s="79">
        <f>J11-G11</f>
        <v/>
      </c>
      <c r="L11" s="79">
        <f>J11*'Assessment Inputs'!$B$14</f>
        <v/>
      </c>
      <c r="M11" s="79">
        <f>G11*'Assessment Inputs'!$B$14</f>
        <v/>
      </c>
      <c r="N11" s="79">
        <f>L11-M11</f>
        <v/>
      </c>
      <c r="O11" s="79">
        <f>K11*('Assessment Inputs'!$B$3-'Assessment Inputs'!$B$4)/'Assessment Inputs'!$B$3</f>
        <v/>
      </c>
      <c r="P11" s="79">
        <f>N11*'Assessment Inputs'!$B$12</f>
        <v/>
      </c>
      <c r="Q11" s="79">
        <f>L11*'Assessment Inputs'!$B$12</f>
        <v/>
      </c>
      <c r="R11" s="51" t="inlineStr">
        <is>
          <t>medium</t>
        </is>
      </c>
      <c r="S11" s="51" t="inlineStr">
        <is>
          <t>9201 W Thomas Rd, Phoenix, AZ 85037</t>
        </is>
      </c>
    </row>
    <row r="12" ht="15" customHeight="1" s="44">
      <c r="A12" s="51" t="inlineStr">
        <is>
          <t>Phoenix Children's Hospital</t>
        </is>
      </c>
      <c r="B12" s="51" t="inlineStr">
        <is>
          <t>Phoenix Children's Hospital</t>
        </is>
      </c>
      <c r="C12" s="51" t="inlineStr">
        <is>
          <t>Phoenix</t>
        </is>
      </c>
      <c r="D12" s="51" t="inlineStr">
        <is>
          <t>Maricopa</t>
        </is>
      </c>
      <c r="E12" s="48" t="n">
        <v>5</v>
      </c>
      <c r="F12" s="51" t="n"/>
      <c r="G12" s="76" t="n">
        <v>11551898.47</v>
      </c>
      <c r="H12" s="76" t="n">
        <v>5295926.89</v>
      </c>
      <c r="I12" s="76" t="n">
        <v>105335789</v>
      </c>
      <c r="J12" s="79">
        <f>H12+I12</f>
        <v/>
      </c>
      <c r="K12" s="79">
        <f>J12-G12</f>
        <v/>
      </c>
      <c r="L12" s="79">
        <f>J12*'Assessment Inputs'!$B$14</f>
        <v/>
      </c>
      <c r="M12" s="79">
        <f>G12*'Assessment Inputs'!$B$14</f>
        <v/>
      </c>
      <c r="N12" s="79">
        <f>L12-M12</f>
        <v/>
      </c>
      <c r="O12" s="79">
        <f>K12*('Assessment Inputs'!$B$3-'Assessment Inputs'!$B$4)/'Assessment Inputs'!$B$3</f>
        <v/>
      </c>
      <c r="P12" s="79">
        <f>N12*'Assessment Inputs'!$B$12</f>
        <v/>
      </c>
      <c r="Q12" s="79">
        <f>L12*'Assessment Inputs'!$B$12</f>
        <v/>
      </c>
      <c r="R12" s="51" t="inlineStr">
        <is>
          <t>high</t>
        </is>
      </c>
      <c r="S12" s="51" t="inlineStr">
        <is>
          <t>1919 E Thomas Rd, Phoenix, AZ 85016</t>
        </is>
      </c>
    </row>
    <row r="13" ht="15" customHeight="1" s="44">
      <c r="A13" s="51" t="inlineStr">
        <is>
          <t>Banner Gateway Medical Center</t>
        </is>
      </c>
      <c r="B13" s="51" t="inlineStr">
        <is>
          <t>Banner Health</t>
        </is>
      </c>
      <c r="C13" s="51" t="inlineStr">
        <is>
          <t>Gilbert</t>
        </is>
      </c>
      <c r="D13" s="51" t="inlineStr">
        <is>
          <t>Maricopa</t>
        </is>
      </c>
      <c r="E13" s="48" t="n">
        <v>14</v>
      </c>
      <c r="F13" s="51" t="n"/>
      <c r="G13" s="76" t="n">
        <v>49603403.32</v>
      </c>
      <c r="H13" s="76" t="n">
        <v>28483798.72</v>
      </c>
      <c r="I13" s="76" t="n">
        <v>67197785</v>
      </c>
      <c r="J13" s="79">
        <f>H13+I13</f>
        <v/>
      </c>
      <c r="K13" s="79">
        <f>J13-G13</f>
        <v/>
      </c>
      <c r="L13" s="79">
        <f>J13*'Assessment Inputs'!$B$14</f>
        <v/>
      </c>
      <c r="M13" s="79">
        <f>G13*'Assessment Inputs'!$B$14</f>
        <v/>
      </c>
      <c r="N13" s="79">
        <f>L13-M13</f>
        <v/>
      </c>
      <c r="O13" s="79">
        <f>K13*('Assessment Inputs'!$B$3-'Assessment Inputs'!$B$4)/'Assessment Inputs'!$B$3</f>
        <v/>
      </c>
      <c r="P13" s="79">
        <f>N13*'Assessment Inputs'!$B$12</f>
        <v/>
      </c>
      <c r="Q13" s="79">
        <f>L13*'Assessment Inputs'!$B$12</f>
        <v/>
      </c>
      <c r="R13" s="51" t="inlineStr">
        <is>
          <t>high</t>
        </is>
      </c>
      <c r="S13" s="51" t="inlineStr">
        <is>
          <t>1900 N Higley Rd, Gilbert, AZ 85234</t>
        </is>
      </c>
    </row>
    <row r="14" ht="15" customHeight="1" s="44">
      <c r="A14" s="51" t="inlineStr">
        <is>
          <t>Chandler Regional Medical Center</t>
        </is>
      </c>
      <c r="B14" s="51" t="inlineStr">
        <is>
          <t>Dignity Health</t>
        </is>
      </c>
      <c r="C14" s="51" t="inlineStr">
        <is>
          <t>Chandler</t>
        </is>
      </c>
      <c r="D14" s="51" t="inlineStr">
        <is>
          <t>Maricopa</t>
        </is>
      </c>
      <c r="E14" s="48" t="n">
        <v>13</v>
      </c>
      <c r="F14" s="51" t="n"/>
      <c r="G14" s="76" t="n">
        <v>55342327.83</v>
      </c>
      <c r="H14" s="76" t="n">
        <v>31428811.81</v>
      </c>
      <c r="I14" s="76" t="n">
        <v>60843734</v>
      </c>
      <c r="J14" s="79">
        <f>H14+I14</f>
        <v/>
      </c>
      <c r="K14" s="79">
        <f>J14-G14</f>
        <v/>
      </c>
      <c r="L14" s="79">
        <f>J14*'Assessment Inputs'!$B$14</f>
        <v/>
      </c>
      <c r="M14" s="79">
        <f>G14*'Assessment Inputs'!$B$14</f>
        <v/>
      </c>
      <c r="N14" s="79">
        <f>L14-M14</f>
        <v/>
      </c>
      <c r="O14" s="79">
        <f>K14*('Assessment Inputs'!$B$3-'Assessment Inputs'!$B$4)/'Assessment Inputs'!$B$3</f>
        <v/>
      </c>
      <c r="P14" s="79">
        <f>N14*'Assessment Inputs'!$B$12</f>
        <v/>
      </c>
      <c r="Q14" s="79">
        <f>L14*'Assessment Inputs'!$B$12</f>
        <v/>
      </c>
      <c r="R14" s="51" t="inlineStr">
        <is>
          <t>high</t>
        </is>
      </c>
      <c r="S14" s="51" t="inlineStr">
        <is>
          <t>1955 W Frye Rd, Chandler, AZ 85224</t>
        </is>
      </c>
    </row>
    <row r="15" ht="15" customHeight="1" s="44">
      <c r="A15" s="51" t="inlineStr">
        <is>
          <t>Flagstaff Medical Center</t>
        </is>
      </c>
      <c r="B15" s="51" t="inlineStr">
        <is>
          <t>Northern Arizona</t>
        </is>
      </c>
      <c r="C15" s="51" t="inlineStr">
        <is>
          <t>Flagstaff</t>
        </is>
      </c>
      <c r="D15" s="51" t="inlineStr">
        <is>
          <t>Coconino</t>
        </is>
      </c>
      <c r="E15" s="48" t="n">
        <v>6</v>
      </c>
      <c r="F15" s="51" t="n"/>
      <c r="G15" s="76" t="n">
        <v>23995334.6</v>
      </c>
      <c r="H15" s="76" t="n">
        <v>28570104.08</v>
      </c>
      <c r="I15" s="76" t="n">
        <v>50152668</v>
      </c>
      <c r="J15" s="79">
        <f>H15+I15</f>
        <v/>
      </c>
      <c r="K15" s="79">
        <f>J15-G15</f>
        <v/>
      </c>
      <c r="L15" s="79">
        <f>J15*'Assessment Inputs'!$B$14</f>
        <v/>
      </c>
      <c r="M15" s="79">
        <f>G15*'Assessment Inputs'!$B$14</f>
        <v/>
      </c>
      <c r="N15" s="79">
        <f>L15-M15</f>
        <v/>
      </c>
      <c r="O15" s="79">
        <f>K15*('Assessment Inputs'!$B$3-'Assessment Inputs'!$B$4)/'Assessment Inputs'!$B$3</f>
        <v/>
      </c>
      <c r="P15" s="79">
        <f>N15*'Assessment Inputs'!$B$12</f>
        <v/>
      </c>
      <c r="Q15" s="79">
        <f>L15*'Assessment Inputs'!$B$12</f>
        <v/>
      </c>
      <c r="R15" s="51" t="inlineStr">
        <is>
          <t>high</t>
        </is>
      </c>
      <c r="S15" s="51" t="inlineStr">
        <is>
          <t>1200 N Beaver St, Flagstaff, AZ 86001</t>
        </is>
      </c>
    </row>
    <row r="16" ht="15" customHeight="1" s="44">
      <c r="A16" s="51" t="inlineStr">
        <is>
          <t>Abrazo Arrowhead Campus</t>
        </is>
      </c>
      <c r="B16" s="51" t="inlineStr">
        <is>
          <t>Abrazo Health Care</t>
        </is>
      </c>
      <c r="C16" s="51" t="inlineStr">
        <is>
          <t>Glendale</t>
        </is>
      </c>
      <c r="D16" s="51" t="inlineStr">
        <is>
          <t>Maricopa</t>
        </is>
      </c>
      <c r="E16" s="48" t="n">
        <v>27</v>
      </c>
      <c r="F16" s="51" t="n"/>
      <c r="G16" s="76" t="n">
        <v>38223520.02</v>
      </c>
      <c r="H16" s="76" t="n">
        <v>19595573.6</v>
      </c>
      <c r="I16" s="76" t="n">
        <v>55590797</v>
      </c>
      <c r="J16" s="79">
        <f>H16+I16</f>
        <v/>
      </c>
      <c r="K16" s="79">
        <f>J16-G16</f>
        <v/>
      </c>
      <c r="L16" s="79">
        <f>J16*'Assessment Inputs'!$B$14</f>
        <v/>
      </c>
      <c r="M16" s="79">
        <f>G16*'Assessment Inputs'!$B$14</f>
        <v/>
      </c>
      <c r="N16" s="79">
        <f>L16-M16</f>
        <v/>
      </c>
      <c r="O16" s="79">
        <f>K16*('Assessment Inputs'!$B$3-'Assessment Inputs'!$B$4)/'Assessment Inputs'!$B$3</f>
        <v/>
      </c>
      <c r="P16" s="79">
        <f>N16*'Assessment Inputs'!$B$12</f>
        <v/>
      </c>
      <c r="Q16" s="79">
        <f>L16*'Assessment Inputs'!$B$12</f>
        <v/>
      </c>
      <c r="R16" s="51" t="inlineStr">
        <is>
          <t>high</t>
        </is>
      </c>
      <c r="S16" s="51" t="inlineStr">
        <is>
          <t>18701 N 67th Ave, Glendale, AZ 85308</t>
        </is>
      </c>
    </row>
    <row r="17" ht="15" customHeight="1" s="44">
      <c r="A17" s="51" t="inlineStr">
        <is>
          <t>Banner – University Medical Center South</t>
        </is>
      </c>
      <c r="B17" s="51" t="inlineStr">
        <is>
          <t>Banner Health</t>
        </is>
      </c>
      <c r="C17" s="51" t="inlineStr">
        <is>
          <t>Tucson</t>
        </is>
      </c>
      <c r="D17" s="51" t="inlineStr">
        <is>
          <t>Pima</t>
        </is>
      </c>
      <c r="E17" s="48" t="n">
        <v>21</v>
      </c>
      <c r="F17" s="51" t="n"/>
      <c r="G17" s="76" t="n">
        <v>19135231.11</v>
      </c>
      <c r="H17" s="76" t="n">
        <v>22465591.86</v>
      </c>
      <c r="I17" s="76" t="n">
        <v>50866200</v>
      </c>
      <c r="J17" s="79">
        <f>H17+I17</f>
        <v/>
      </c>
      <c r="K17" s="79">
        <f>J17-G17</f>
        <v/>
      </c>
      <c r="L17" s="79">
        <f>J17*'Assessment Inputs'!$B$14</f>
        <v/>
      </c>
      <c r="M17" s="79">
        <f>G17*'Assessment Inputs'!$B$14</f>
        <v/>
      </c>
      <c r="N17" s="79">
        <f>L17-M17</f>
        <v/>
      </c>
      <c r="O17" s="79">
        <f>K17*('Assessment Inputs'!$B$3-'Assessment Inputs'!$B$4)/'Assessment Inputs'!$B$3</f>
        <v/>
      </c>
      <c r="P17" s="79">
        <f>N17*'Assessment Inputs'!$B$12</f>
        <v/>
      </c>
      <c r="Q17" s="79">
        <f>L17*'Assessment Inputs'!$B$12</f>
        <v/>
      </c>
      <c r="R17" s="51" t="inlineStr">
        <is>
          <t>high</t>
        </is>
      </c>
      <c r="S17" s="51" t="inlineStr">
        <is>
          <t>2800 E Ajo Way, Tucson, AZ 85713</t>
        </is>
      </c>
    </row>
    <row r="18" ht="15" customHeight="1" s="44">
      <c r="A18" s="51" t="inlineStr">
        <is>
          <t>HonorHealth Deer Valley Medical Center</t>
        </is>
      </c>
      <c r="B18" s="51" t="inlineStr">
        <is>
          <t>HonorHealth</t>
        </is>
      </c>
      <c r="C18" s="51" t="inlineStr">
        <is>
          <t>Phoenix</t>
        </is>
      </c>
      <c r="D18" s="51" t="inlineStr">
        <is>
          <t>Maricopa</t>
        </is>
      </c>
      <c r="E18" s="48" t="n">
        <v>2</v>
      </c>
      <c r="F18" s="51" t="n"/>
      <c r="G18" s="76" t="n">
        <v>30352139.44</v>
      </c>
      <c r="H18" s="76" t="n">
        <v>22912618.08</v>
      </c>
      <c r="I18" s="76" t="n">
        <v>49102695</v>
      </c>
      <c r="J18" s="79">
        <f>H18+I18</f>
        <v/>
      </c>
      <c r="K18" s="79">
        <f>J18-G18</f>
        <v/>
      </c>
      <c r="L18" s="79">
        <f>J18*'Assessment Inputs'!$B$14</f>
        <v/>
      </c>
      <c r="M18" s="79">
        <f>G18*'Assessment Inputs'!$B$14</f>
        <v/>
      </c>
      <c r="N18" s="79">
        <f>L18-M18</f>
        <v/>
      </c>
      <c r="O18" s="79">
        <f>K18*('Assessment Inputs'!$B$3-'Assessment Inputs'!$B$4)/'Assessment Inputs'!$B$3</f>
        <v/>
      </c>
      <c r="P18" s="79">
        <f>N18*'Assessment Inputs'!$B$12</f>
        <v/>
      </c>
      <c r="Q18" s="79">
        <f>L18*'Assessment Inputs'!$B$12</f>
        <v/>
      </c>
      <c r="R18" s="51" t="inlineStr">
        <is>
          <t>high</t>
        </is>
      </c>
      <c r="S18" s="51" t="inlineStr">
        <is>
          <t>19829 N 27th Ave, Phoenix, AZ 85027</t>
        </is>
      </c>
    </row>
    <row r="19" ht="15" customHeight="1" s="44">
      <c r="A19" s="51" t="inlineStr">
        <is>
          <t>Carondelet St. Joseph's Hospital (Tucson)</t>
        </is>
      </c>
      <c r="B19" s="51" t="inlineStr">
        <is>
          <t>Abrazo Health Care</t>
        </is>
      </c>
      <c r="C19" s="51" t="inlineStr">
        <is>
          <t>Tucson</t>
        </is>
      </c>
      <c r="D19" s="51" t="inlineStr">
        <is>
          <t>Pima</t>
        </is>
      </c>
      <c r="E19" s="48" t="n">
        <v>18</v>
      </c>
      <c r="F19" s="51" t="n"/>
      <c r="G19" s="76" t="n">
        <v>26652198.57</v>
      </c>
      <c r="H19" s="76" t="n">
        <v>20121899.21</v>
      </c>
      <c r="I19" s="76" t="n">
        <v>50011347</v>
      </c>
      <c r="J19" s="79">
        <f>H19+I19</f>
        <v/>
      </c>
      <c r="K19" s="79">
        <f>J19-G19</f>
        <v/>
      </c>
      <c r="L19" s="79">
        <f>J19*'Assessment Inputs'!$B$14</f>
        <v/>
      </c>
      <c r="M19" s="79">
        <f>G19*'Assessment Inputs'!$B$14</f>
        <v/>
      </c>
      <c r="N19" s="79">
        <f>L19-M19</f>
        <v/>
      </c>
      <c r="O19" s="79">
        <f>K19*('Assessment Inputs'!$B$3-'Assessment Inputs'!$B$4)/'Assessment Inputs'!$B$3</f>
        <v/>
      </c>
      <c r="P19" s="79">
        <f>N19*'Assessment Inputs'!$B$12</f>
        <v/>
      </c>
      <c r="Q19" s="79">
        <f>L19*'Assessment Inputs'!$B$12</f>
        <v/>
      </c>
      <c r="R19" s="51" t="inlineStr">
        <is>
          <t>high</t>
        </is>
      </c>
      <c r="S19" s="51" t="inlineStr">
        <is>
          <t>350 N Wilmot Rd, Tucson, AZ 85711</t>
        </is>
      </c>
    </row>
    <row r="20" ht="15" customHeight="1" s="44">
      <c r="A20" s="51" t="inlineStr">
        <is>
          <t>Kingman Regional Medical Center</t>
        </is>
      </c>
      <c r="B20" s="51" t="inlineStr">
        <is>
          <t>Kingman Regional Medical Center</t>
        </is>
      </c>
      <c r="C20" s="51" t="inlineStr">
        <is>
          <t>Kingman</t>
        </is>
      </c>
      <c r="D20" s="51" t="inlineStr">
        <is>
          <t>Mohave</t>
        </is>
      </c>
      <c r="E20" s="48" t="n">
        <v>30</v>
      </c>
      <c r="F20" s="51" t="n"/>
      <c r="G20" s="76" t="n">
        <v>21288215</v>
      </c>
      <c r="H20" s="76" t="n">
        <v>18148894.35</v>
      </c>
      <c r="I20" s="76" t="n">
        <v>50950748</v>
      </c>
      <c r="J20" s="79">
        <f>H20+I20</f>
        <v/>
      </c>
      <c r="K20" s="79">
        <f>J20-G20</f>
        <v/>
      </c>
      <c r="L20" s="79">
        <f>J20*'Assessment Inputs'!$B$14</f>
        <v/>
      </c>
      <c r="M20" s="79">
        <f>G20*'Assessment Inputs'!$B$14</f>
        <v/>
      </c>
      <c r="N20" s="79">
        <f>L20-M20</f>
        <v/>
      </c>
      <c r="O20" s="79">
        <f>K20*('Assessment Inputs'!$B$3-'Assessment Inputs'!$B$4)/'Assessment Inputs'!$B$3</f>
        <v/>
      </c>
      <c r="P20" s="79">
        <f>N20*'Assessment Inputs'!$B$12</f>
        <v/>
      </c>
      <c r="Q20" s="79">
        <f>L20*'Assessment Inputs'!$B$12</f>
        <v/>
      </c>
      <c r="R20" s="51" t="inlineStr">
        <is>
          <t>medium</t>
        </is>
      </c>
      <c r="S20" s="51" t="inlineStr">
        <is>
          <t>3269 Stockton Hill Rd, Kingman, AZ 86401</t>
        </is>
      </c>
    </row>
    <row r="21" ht="15" customHeight="1" s="44">
      <c r="A21" s="51" t="inlineStr">
        <is>
          <t>Abrazo West Campus</t>
        </is>
      </c>
      <c r="B21" s="51" t="inlineStr">
        <is>
          <t>Abrazo Health Care</t>
        </is>
      </c>
      <c r="C21" s="51" t="inlineStr">
        <is>
          <t>Goodyear</t>
        </is>
      </c>
      <c r="D21" s="51" t="inlineStr">
        <is>
          <t>Maricopa</t>
        </is>
      </c>
      <c r="E21" s="48" t="n">
        <v>23</v>
      </c>
      <c r="F21" s="51" t="n"/>
      <c r="G21" s="76" t="n">
        <v>28097763.93</v>
      </c>
      <c r="H21" s="76" t="n">
        <v>23192282.83</v>
      </c>
      <c r="I21" s="76" t="n">
        <v>42869989</v>
      </c>
      <c r="J21" s="79">
        <f>H21+I21</f>
        <v/>
      </c>
      <c r="K21" s="79">
        <f>J21-G21</f>
        <v/>
      </c>
      <c r="L21" s="79">
        <f>J21*'Assessment Inputs'!$B$14</f>
        <v/>
      </c>
      <c r="M21" s="79">
        <f>G21*'Assessment Inputs'!$B$14</f>
        <v/>
      </c>
      <c r="N21" s="79">
        <f>L21-M21</f>
        <v/>
      </c>
      <c r="O21" s="79">
        <f>K21*('Assessment Inputs'!$B$3-'Assessment Inputs'!$B$4)/'Assessment Inputs'!$B$3</f>
        <v/>
      </c>
      <c r="P21" s="79">
        <f>N21*'Assessment Inputs'!$B$12</f>
        <v/>
      </c>
      <c r="Q21" s="79">
        <f>L21*'Assessment Inputs'!$B$12</f>
        <v/>
      </c>
      <c r="R21" s="51" t="inlineStr">
        <is>
          <t>high</t>
        </is>
      </c>
      <c r="S21" s="51" t="inlineStr">
        <is>
          <t>13677 W McDowell Rd, Goodyear, AZ 85395</t>
        </is>
      </c>
    </row>
    <row r="22" ht="15" customHeight="1" s="44">
      <c r="A22" s="51" t="inlineStr">
        <is>
          <t>HonorHealth Scottsdale Shea Medical Center</t>
        </is>
      </c>
      <c r="B22" s="51" t="inlineStr">
        <is>
          <t>HonorHealth</t>
        </is>
      </c>
      <c r="C22" s="51" t="inlineStr">
        <is>
          <t>Scottsdale</t>
        </is>
      </c>
      <c r="D22" s="51" t="inlineStr">
        <is>
          <t>Maricopa</t>
        </is>
      </c>
      <c r="E22" s="48" t="n">
        <v>4</v>
      </c>
      <c r="F22" s="51" t="n"/>
      <c r="G22" s="76" t="n">
        <v>43304353.22</v>
      </c>
      <c r="H22" s="76" t="n">
        <v>21840645.87</v>
      </c>
      <c r="I22" s="76" t="n">
        <v>40828904</v>
      </c>
      <c r="J22" s="79">
        <f>H22+I22</f>
        <v/>
      </c>
      <c r="K22" s="79">
        <f>J22-G22</f>
        <v/>
      </c>
      <c r="L22" s="79">
        <f>J22*'Assessment Inputs'!$B$14</f>
        <v/>
      </c>
      <c r="M22" s="79">
        <f>G22*'Assessment Inputs'!$B$14</f>
        <v/>
      </c>
      <c r="N22" s="79">
        <f>L22-M22</f>
        <v/>
      </c>
      <c r="O22" s="79">
        <f>K22*('Assessment Inputs'!$B$3-'Assessment Inputs'!$B$4)/'Assessment Inputs'!$B$3</f>
        <v/>
      </c>
      <c r="P22" s="79">
        <f>N22*'Assessment Inputs'!$B$12</f>
        <v/>
      </c>
      <c r="Q22" s="79">
        <f>L22*'Assessment Inputs'!$B$12</f>
        <v/>
      </c>
      <c r="R22" s="51" t="inlineStr">
        <is>
          <t>high</t>
        </is>
      </c>
      <c r="S22" s="51" t="inlineStr">
        <is>
          <t>9003 E Shea Blvd, Scottsdale, AZ 85260</t>
        </is>
      </c>
    </row>
    <row r="23" ht="15" customHeight="1" s="44">
      <c r="A23" s="51" t="inlineStr">
        <is>
          <t>HonorHealth Scottsdale Osborn Medical Center</t>
        </is>
      </c>
      <c r="B23" s="51" t="inlineStr">
        <is>
          <t>HonorHealth</t>
        </is>
      </c>
      <c r="C23" s="51" t="inlineStr">
        <is>
          <t>Scottsdale</t>
        </is>
      </c>
      <c r="D23" s="51" t="inlineStr">
        <is>
          <t>Maricopa</t>
        </is>
      </c>
      <c r="E23" s="48" t="n">
        <v>8</v>
      </c>
      <c r="F23" s="51" t="n"/>
      <c r="G23" s="76" t="n">
        <v>37303469.77</v>
      </c>
      <c r="H23" s="76" t="n">
        <v>25480587.51</v>
      </c>
      <c r="I23" s="76" t="n">
        <v>36474218</v>
      </c>
      <c r="J23" s="79">
        <f>H23+I23</f>
        <v/>
      </c>
      <c r="K23" s="79">
        <f>J23-G23</f>
        <v/>
      </c>
      <c r="L23" s="79">
        <f>J23*'Assessment Inputs'!$B$14</f>
        <v/>
      </c>
      <c r="M23" s="79">
        <f>G23*'Assessment Inputs'!$B$14</f>
        <v/>
      </c>
      <c r="N23" s="79">
        <f>L23-M23</f>
        <v/>
      </c>
      <c r="O23" s="79">
        <f>K23*('Assessment Inputs'!$B$3-'Assessment Inputs'!$B$4)/'Assessment Inputs'!$B$3</f>
        <v/>
      </c>
      <c r="P23" s="79">
        <f>N23*'Assessment Inputs'!$B$12</f>
        <v/>
      </c>
      <c r="Q23" s="79">
        <f>L23*'Assessment Inputs'!$B$12</f>
        <v/>
      </c>
      <c r="R23" s="51" t="inlineStr">
        <is>
          <t>high</t>
        </is>
      </c>
      <c r="S23" s="51" t="inlineStr">
        <is>
          <t>7400 E Osborn Rd, Scottsdale, AZ 85251</t>
        </is>
      </c>
    </row>
    <row r="24" ht="15" customHeight="1" s="44">
      <c r="A24" s="51" t="inlineStr">
        <is>
          <t>Summit Healthcare Regional Medical Center</t>
        </is>
      </c>
      <c r="B24" s="51" t="inlineStr">
        <is>
          <t>Summit Healthcare</t>
        </is>
      </c>
      <c r="C24" s="51" t="inlineStr">
        <is>
          <t>Show Low</t>
        </is>
      </c>
      <c r="D24" s="51" t="inlineStr">
        <is>
          <t>Navajo</t>
        </is>
      </c>
      <c r="E24" s="48" t="n">
        <v>7</v>
      </c>
      <c r="F24" s="51" t="n"/>
      <c r="G24" s="76" t="n">
        <v>17812905.26</v>
      </c>
      <c r="H24" s="76" t="n">
        <v>12903822.75</v>
      </c>
      <c r="I24" s="76" t="n">
        <v>45420378</v>
      </c>
      <c r="J24" s="79">
        <f>H24+I24</f>
        <v/>
      </c>
      <c r="K24" s="79">
        <f>J24-G24</f>
        <v/>
      </c>
      <c r="L24" s="79">
        <f>J24*'Assessment Inputs'!$B$14</f>
        <v/>
      </c>
      <c r="M24" s="79">
        <f>G24*'Assessment Inputs'!$B$14</f>
        <v/>
      </c>
      <c r="N24" s="79">
        <f>L24-M24</f>
        <v/>
      </c>
      <c r="O24" s="79">
        <f>K24*('Assessment Inputs'!$B$3-'Assessment Inputs'!$B$4)/'Assessment Inputs'!$B$3</f>
        <v/>
      </c>
      <c r="P24" s="79">
        <f>N24*'Assessment Inputs'!$B$12</f>
        <v/>
      </c>
      <c r="Q24" s="79">
        <f>L24*'Assessment Inputs'!$B$12</f>
        <v/>
      </c>
      <c r="R24" s="51" t="inlineStr">
        <is>
          <t>medium</t>
        </is>
      </c>
      <c r="S24" s="51" t="inlineStr">
        <is>
          <t>2200 E Show Low Lake Rd, Show Low, AZ 85901</t>
        </is>
      </c>
    </row>
    <row r="25" ht="15" customHeight="1" s="44">
      <c r="A25" s="51" t="inlineStr">
        <is>
          <t>Northwest Medical Center</t>
        </is>
      </c>
      <c r="B25" s="51" t="inlineStr">
        <is>
          <t>Community Health Systems</t>
        </is>
      </c>
      <c r="C25" s="51" t="inlineStr">
        <is>
          <t>Tucson</t>
        </is>
      </c>
      <c r="D25" s="51" t="inlineStr">
        <is>
          <t>Pima</t>
        </is>
      </c>
      <c r="E25" s="48" t="n">
        <v>18</v>
      </c>
      <c r="F25" s="51" t="n"/>
      <c r="G25" s="76" t="n">
        <v>32985988.62</v>
      </c>
      <c r="H25" s="76" t="n">
        <v>13018893.54</v>
      </c>
      <c r="I25" s="76" t="n">
        <v>42768190</v>
      </c>
      <c r="J25" s="79">
        <f>H25+I25</f>
        <v/>
      </c>
      <c r="K25" s="79">
        <f>J25-G25</f>
        <v/>
      </c>
      <c r="L25" s="79">
        <f>J25*'Assessment Inputs'!$B$14</f>
        <v/>
      </c>
      <c r="M25" s="79">
        <f>G25*'Assessment Inputs'!$B$14</f>
        <v/>
      </c>
      <c r="N25" s="79">
        <f>L25-M25</f>
        <v/>
      </c>
      <c r="O25" s="79">
        <f>K25*('Assessment Inputs'!$B$3-'Assessment Inputs'!$B$4)/'Assessment Inputs'!$B$3</f>
        <v/>
      </c>
      <c r="P25" s="79">
        <f>N25*'Assessment Inputs'!$B$12</f>
        <v/>
      </c>
      <c r="Q25" s="79">
        <f>L25*'Assessment Inputs'!$B$12</f>
        <v/>
      </c>
      <c r="R25" s="51" t="inlineStr">
        <is>
          <t>medium</t>
        </is>
      </c>
      <c r="S25" s="51" t="inlineStr">
        <is>
          <t>6200 N La Cholla Blvd, Tucson, AZ 85741</t>
        </is>
      </c>
    </row>
    <row r="26" ht="15" customHeight="1" s="44">
      <c r="A26" s="51" t="inlineStr">
        <is>
          <t>Banner Del E. Webb Medical Center</t>
        </is>
      </c>
      <c r="B26" s="51" t="inlineStr">
        <is>
          <t>Banner Health</t>
        </is>
      </c>
      <c r="C26" s="51" t="inlineStr">
        <is>
          <t>Sun City West</t>
        </is>
      </c>
      <c r="D26" s="51" t="inlineStr">
        <is>
          <t>Maricopa</t>
        </is>
      </c>
      <c r="E26" s="48" t="n">
        <v>28</v>
      </c>
      <c r="F26" s="51" t="n"/>
      <c r="G26" s="76" t="n">
        <v>37727888.67</v>
      </c>
      <c r="H26" s="76" t="n">
        <v>15289533.97</v>
      </c>
      <c r="I26" s="76" t="n">
        <v>38829828</v>
      </c>
      <c r="J26" s="79">
        <f>H26+I26</f>
        <v/>
      </c>
      <c r="K26" s="79">
        <f>J26-G26</f>
        <v/>
      </c>
      <c r="L26" s="79">
        <f>J26*'Assessment Inputs'!$B$14</f>
        <v/>
      </c>
      <c r="M26" s="79">
        <f>G26*'Assessment Inputs'!$B$14</f>
        <v/>
      </c>
      <c r="N26" s="79">
        <f>L26-M26</f>
        <v/>
      </c>
      <c r="O26" s="79">
        <f>K26*('Assessment Inputs'!$B$3-'Assessment Inputs'!$B$4)/'Assessment Inputs'!$B$3</f>
        <v/>
      </c>
      <c r="P26" s="79">
        <f>N26*'Assessment Inputs'!$B$12</f>
        <v/>
      </c>
      <c r="Q26" s="79">
        <f>L26*'Assessment Inputs'!$B$12</f>
        <v/>
      </c>
      <c r="R26" s="51" t="inlineStr">
        <is>
          <t>high</t>
        </is>
      </c>
      <c r="S26" s="51" t="inlineStr">
        <is>
          <t>14502 W Meeker Blvd, Sun City West, AZ 85375</t>
        </is>
      </c>
    </row>
    <row r="27" ht="15" customHeight="1" s="44">
      <c r="A27" s="51" t="inlineStr">
        <is>
          <t>Yavapai Regional Medical Center</t>
        </is>
      </c>
      <c r="B27" s="51" t="inlineStr">
        <is>
          <t>Dignity Health</t>
        </is>
      </c>
      <c r="C27" s="51" t="inlineStr">
        <is>
          <t>Prescott</t>
        </is>
      </c>
      <c r="D27" s="51" t="inlineStr">
        <is>
          <t>Yavapai</t>
        </is>
      </c>
      <c r="E27" s="48" t="n">
        <v>1</v>
      </c>
      <c r="F27" s="51" t="n"/>
      <c r="G27" s="76" t="n">
        <v>31672062.3</v>
      </c>
      <c r="H27" s="76" t="n">
        <v>13950715.94</v>
      </c>
      <c r="I27" s="76" t="n">
        <v>39308717</v>
      </c>
      <c r="J27" s="79">
        <f>H27+I27</f>
        <v/>
      </c>
      <c r="K27" s="79">
        <f>J27-G27</f>
        <v/>
      </c>
      <c r="L27" s="79">
        <f>J27*'Assessment Inputs'!$B$14</f>
        <v/>
      </c>
      <c r="M27" s="79">
        <f>G27*'Assessment Inputs'!$B$14</f>
        <v/>
      </c>
      <c r="N27" s="79">
        <f>L27-M27</f>
        <v/>
      </c>
      <c r="O27" s="79">
        <f>K27*('Assessment Inputs'!$B$3-'Assessment Inputs'!$B$4)/'Assessment Inputs'!$B$3</f>
        <v/>
      </c>
      <c r="P27" s="79">
        <f>N27*'Assessment Inputs'!$B$12</f>
        <v/>
      </c>
      <c r="Q27" s="79">
        <f>L27*'Assessment Inputs'!$B$12</f>
        <v/>
      </c>
      <c r="R27" s="51" t="inlineStr">
        <is>
          <t>high</t>
        </is>
      </c>
      <c r="S27" s="51" t="inlineStr">
        <is>
          <t>1003 Willow Creek Rd, Prescott, AZ 86301</t>
        </is>
      </c>
    </row>
    <row r="28" ht="15" customHeight="1" s="44">
      <c r="A28" s="51" t="inlineStr">
        <is>
          <t>Carondelet St. Mary's Hospital (Tucson)</t>
        </is>
      </c>
      <c r="B28" s="51" t="inlineStr">
        <is>
          <t>Abrazo Health Care</t>
        </is>
      </c>
      <c r="C28" s="51" t="inlineStr">
        <is>
          <t>Tucson</t>
        </is>
      </c>
      <c r="D28" s="51" t="inlineStr">
        <is>
          <t>Pima</t>
        </is>
      </c>
      <c r="E28" s="48" t="n">
        <v>20</v>
      </c>
      <c r="F28" s="51" t="n"/>
      <c r="G28" s="76" t="n">
        <v>17057939.06</v>
      </c>
      <c r="H28" s="76" t="n">
        <v>16578819.11</v>
      </c>
      <c r="I28" s="76" t="n">
        <v>36259988</v>
      </c>
      <c r="J28" s="79">
        <f>H28+I28</f>
        <v/>
      </c>
      <c r="K28" s="79">
        <f>J28-G28</f>
        <v/>
      </c>
      <c r="L28" s="79">
        <f>J28*'Assessment Inputs'!$B$14</f>
        <v/>
      </c>
      <c r="M28" s="79">
        <f>G28*'Assessment Inputs'!$B$14</f>
        <v/>
      </c>
      <c r="N28" s="79">
        <f>L28-M28</f>
        <v/>
      </c>
      <c r="O28" s="79">
        <f>K28*('Assessment Inputs'!$B$3-'Assessment Inputs'!$B$4)/'Assessment Inputs'!$B$3</f>
        <v/>
      </c>
      <c r="P28" s="79">
        <f>N28*'Assessment Inputs'!$B$12</f>
        <v/>
      </c>
      <c r="Q28" s="79">
        <f>L28*'Assessment Inputs'!$B$12</f>
        <v/>
      </c>
      <c r="R28" s="51" t="inlineStr">
        <is>
          <t>medium</t>
        </is>
      </c>
      <c r="S28" s="51" t="inlineStr">
        <is>
          <t>1601 W St Mary's Rd, Tucson, AZ 85745</t>
        </is>
      </c>
    </row>
    <row r="29" ht="15" customHeight="1" s="44">
      <c r="A29" s="51" t="inlineStr">
        <is>
          <t>Banner Boswell Medical Center</t>
        </is>
      </c>
      <c r="B29" s="51" t="inlineStr">
        <is>
          <t>Banner Health</t>
        </is>
      </c>
      <c r="C29" s="51" t="inlineStr">
        <is>
          <t>Sun City</t>
        </is>
      </c>
      <c r="D29" s="51" t="inlineStr">
        <is>
          <t>Maricopa</t>
        </is>
      </c>
      <c r="E29" s="48" t="n">
        <v>28</v>
      </c>
      <c r="F29" s="51" t="n"/>
      <c r="G29" s="76" t="n">
        <v>33891531.65</v>
      </c>
      <c r="H29" s="76" t="n">
        <v>13517892.24</v>
      </c>
      <c r="I29" s="76" t="n">
        <v>31570494</v>
      </c>
      <c r="J29" s="79">
        <f>H29+I29</f>
        <v/>
      </c>
      <c r="K29" s="79">
        <f>J29-G29</f>
        <v/>
      </c>
      <c r="L29" s="79">
        <f>J29*'Assessment Inputs'!$B$14</f>
        <v/>
      </c>
      <c r="M29" s="79">
        <f>G29*'Assessment Inputs'!$B$14</f>
        <v/>
      </c>
      <c r="N29" s="79">
        <f>L29-M29</f>
        <v/>
      </c>
      <c r="O29" s="79">
        <f>K29*('Assessment Inputs'!$B$3-'Assessment Inputs'!$B$4)/'Assessment Inputs'!$B$3</f>
        <v/>
      </c>
      <c r="P29" s="79">
        <f>N29*'Assessment Inputs'!$B$12</f>
        <v/>
      </c>
      <c r="Q29" s="79">
        <f>L29*'Assessment Inputs'!$B$12</f>
        <v/>
      </c>
      <c r="R29" s="51" t="inlineStr">
        <is>
          <t>high</t>
        </is>
      </c>
      <c r="S29" s="51" t="inlineStr">
        <is>
          <t>13632 N 99th Ave, Sun City, AZ 85351</t>
        </is>
      </c>
    </row>
    <row r="30" ht="15" customHeight="1" s="44">
      <c r="A30" s="51" t="inlineStr">
        <is>
          <t>Mercy Gilbert Medical Center</t>
        </is>
      </c>
      <c r="B30" s="51" t="inlineStr">
        <is>
          <t>Dignity Health</t>
        </is>
      </c>
      <c r="C30" s="51" t="inlineStr">
        <is>
          <t>Gilbert</t>
        </is>
      </c>
      <c r="D30" s="51" t="inlineStr">
        <is>
          <t>Maricopa</t>
        </is>
      </c>
      <c r="E30" s="48" t="n">
        <v>14</v>
      </c>
      <c r="F30" s="51" t="n"/>
      <c r="G30" s="76" t="n">
        <v>37639143.37</v>
      </c>
      <c r="H30" s="76" t="n">
        <v>12249347.23</v>
      </c>
      <c r="I30" s="76" t="n">
        <v>30179827</v>
      </c>
      <c r="J30" s="79">
        <f>H30+I30</f>
        <v/>
      </c>
      <c r="K30" s="79">
        <f>J30-G30</f>
        <v/>
      </c>
      <c r="L30" s="79">
        <f>J30*'Assessment Inputs'!$B$14</f>
        <v/>
      </c>
      <c r="M30" s="79">
        <f>G30*'Assessment Inputs'!$B$14</f>
        <v/>
      </c>
      <c r="N30" s="79">
        <f>L30-M30</f>
        <v/>
      </c>
      <c r="O30" s="79">
        <f>K30*('Assessment Inputs'!$B$3-'Assessment Inputs'!$B$4)/'Assessment Inputs'!$B$3</f>
        <v/>
      </c>
      <c r="P30" s="79">
        <f>N30*'Assessment Inputs'!$B$12</f>
        <v/>
      </c>
      <c r="Q30" s="79">
        <f>L30*'Assessment Inputs'!$B$12</f>
        <v/>
      </c>
      <c r="R30" s="51" t="inlineStr">
        <is>
          <t>high</t>
        </is>
      </c>
      <c r="S30" s="51" t="inlineStr">
        <is>
          <t>3555 S Val Vista Dr, Gilbert, AZ 85297</t>
        </is>
      </c>
    </row>
    <row r="31" ht="15" customHeight="1" s="44">
      <c r="A31" s="51" t="inlineStr">
        <is>
          <t>Abrazo Central Campus</t>
        </is>
      </c>
      <c r="B31" s="51" t="inlineStr">
        <is>
          <t>Abrazo Health Care</t>
        </is>
      </c>
      <c r="C31" s="51" t="inlineStr">
        <is>
          <t>Phoenix</t>
        </is>
      </c>
      <c r="D31" s="51" t="inlineStr">
        <is>
          <t>Maricopa</t>
        </is>
      </c>
      <c r="E31" s="48" t="n">
        <v>26</v>
      </c>
      <c r="F31" s="51" t="n"/>
      <c r="G31" s="76" t="n">
        <v>12973027.33</v>
      </c>
      <c r="H31" s="76" t="n">
        <v>13396215.5</v>
      </c>
      <c r="I31" s="76" t="n">
        <v>28415295</v>
      </c>
      <c r="J31" s="79">
        <f>H31+I31</f>
        <v/>
      </c>
      <c r="K31" s="79">
        <f>J31-G31</f>
        <v/>
      </c>
      <c r="L31" s="79">
        <f>J31*'Assessment Inputs'!$B$14</f>
        <v/>
      </c>
      <c r="M31" s="79">
        <f>G31*'Assessment Inputs'!$B$14</f>
        <v/>
      </c>
      <c r="N31" s="79">
        <f>L31-M31</f>
        <v/>
      </c>
      <c r="O31" s="79">
        <f>K31*('Assessment Inputs'!$B$3-'Assessment Inputs'!$B$4)/'Assessment Inputs'!$B$3</f>
        <v/>
      </c>
      <c r="P31" s="79">
        <f>N31*'Assessment Inputs'!$B$12</f>
        <v/>
      </c>
      <c r="Q31" s="79">
        <f>L31*'Assessment Inputs'!$B$12</f>
        <v/>
      </c>
      <c r="R31" s="51" t="inlineStr">
        <is>
          <t>high</t>
        </is>
      </c>
      <c r="S31" s="51" t="inlineStr">
        <is>
          <t>2000 W Bethany Home Rd, Phoenix, AZ 85015</t>
        </is>
      </c>
    </row>
    <row r="32" ht="15" customHeight="1" s="44">
      <c r="A32" s="51" t="inlineStr">
        <is>
          <t>Banner Baywood Medical Center</t>
        </is>
      </c>
      <c r="B32" s="51" t="inlineStr">
        <is>
          <t>Banner Health</t>
        </is>
      </c>
      <c r="C32" s="51" t="inlineStr">
        <is>
          <t>Mesa</t>
        </is>
      </c>
      <c r="D32" s="51" t="inlineStr">
        <is>
          <t>Maricopa</t>
        </is>
      </c>
      <c r="E32" s="48" t="n">
        <v>10</v>
      </c>
      <c r="F32" s="51" t="n"/>
      <c r="G32" s="76" t="n">
        <v>28624017.46</v>
      </c>
      <c r="H32" s="76" t="n">
        <v>11176697.41</v>
      </c>
      <c r="I32" s="76" t="n">
        <v>28189083</v>
      </c>
      <c r="J32" s="79">
        <f>H32+I32</f>
        <v/>
      </c>
      <c r="K32" s="79">
        <f>J32-G32</f>
        <v/>
      </c>
      <c r="L32" s="79">
        <f>J32*'Assessment Inputs'!$B$14</f>
        <v/>
      </c>
      <c r="M32" s="79">
        <f>G32*'Assessment Inputs'!$B$14</f>
        <v/>
      </c>
      <c r="N32" s="79">
        <f>L32-M32</f>
        <v/>
      </c>
      <c r="O32" s="79">
        <f>K32*('Assessment Inputs'!$B$3-'Assessment Inputs'!$B$4)/'Assessment Inputs'!$B$3</f>
        <v/>
      </c>
      <c r="P32" s="79">
        <f>N32*'Assessment Inputs'!$B$12</f>
        <v/>
      </c>
      <c r="Q32" s="79">
        <f>L32*'Assessment Inputs'!$B$12</f>
        <v/>
      </c>
      <c r="R32" s="51" t="inlineStr">
        <is>
          <t>high</t>
        </is>
      </c>
      <c r="S32" s="51" t="inlineStr">
        <is>
          <t>6644 E Baywood Ave, Mesa, AZ 85206</t>
        </is>
      </c>
    </row>
    <row r="33" ht="15" customHeight="1" s="44">
      <c r="A33" s="51" t="inlineStr">
        <is>
          <t>Banner Casa Grande Medical Center</t>
        </is>
      </c>
      <c r="B33" s="51" t="inlineStr">
        <is>
          <t>Banner Health</t>
        </is>
      </c>
      <c r="C33" s="51" t="inlineStr">
        <is>
          <t>Casa Grande</t>
        </is>
      </c>
      <c r="D33" s="51" t="inlineStr">
        <is>
          <t>Pinal</t>
        </is>
      </c>
      <c r="E33" s="48" t="n">
        <v>16</v>
      </c>
      <c r="F33" s="51" t="n"/>
      <c r="G33" s="76" t="n">
        <v>12412361.35</v>
      </c>
      <c r="H33" s="76" t="n">
        <v>9590304.359999999</v>
      </c>
      <c r="I33" s="76" t="n">
        <v>28852452</v>
      </c>
      <c r="J33" s="79">
        <f>H33+I33</f>
        <v/>
      </c>
      <c r="K33" s="79">
        <f>J33-G33</f>
        <v/>
      </c>
      <c r="L33" s="79">
        <f>J33*'Assessment Inputs'!$B$14</f>
        <v/>
      </c>
      <c r="M33" s="79">
        <f>G33*'Assessment Inputs'!$B$14</f>
        <v/>
      </c>
      <c r="N33" s="79">
        <f>L33-M33</f>
        <v/>
      </c>
      <c r="O33" s="79">
        <f>K33*('Assessment Inputs'!$B$3-'Assessment Inputs'!$B$4)/'Assessment Inputs'!$B$3</f>
        <v/>
      </c>
      <c r="P33" s="79">
        <f>N33*'Assessment Inputs'!$B$12</f>
        <v/>
      </c>
      <c r="Q33" s="79">
        <f>L33*'Assessment Inputs'!$B$12</f>
        <v/>
      </c>
      <c r="R33" s="51" t="inlineStr">
        <is>
          <t>high</t>
        </is>
      </c>
      <c r="S33" s="51" t="inlineStr">
        <is>
          <t>1800 E Florence Blvd, Casa Grande, AZ 85122</t>
        </is>
      </c>
    </row>
    <row r="34" ht="15" customHeight="1" s="44">
      <c r="A34" s="51" t="inlineStr">
        <is>
          <t>Hu Hu Kam Memorial Hospital</t>
        </is>
      </c>
      <c r="B34" s="51" t="inlineStr">
        <is>
          <t>IHS</t>
        </is>
      </c>
      <c r="C34" s="51" t="inlineStr">
        <is>
          <t>Sacaton</t>
        </is>
      </c>
      <c r="D34" s="51" t="inlineStr">
        <is>
          <t>Pinal</t>
        </is>
      </c>
      <c r="E34" s="48" t="n">
        <v>16</v>
      </c>
      <c r="F34" s="51" t="inlineStr">
        <is>
          <t>Yes</t>
        </is>
      </c>
      <c r="G34" s="76" t="n">
        <v>0</v>
      </c>
      <c r="H34" s="76" t="n">
        <v>36588202.38</v>
      </c>
      <c r="I34" s="76" t="n">
        <v>0</v>
      </c>
      <c r="J34" s="79">
        <f>H34+I34</f>
        <v/>
      </c>
      <c r="K34" s="79">
        <f>J34-G34</f>
        <v/>
      </c>
      <c r="L34" s="79">
        <f>J34*'Assessment Inputs'!$B$14</f>
        <v/>
      </c>
      <c r="M34" s="79">
        <f>G34*'Assessment Inputs'!$B$14</f>
        <v/>
      </c>
      <c r="N34" s="79">
        <f>L34-M34</f>
        <v/>
      </c>
      <c r="O34" s="79">
        <f>K34*('Assessment Inputs'!$B$3-'Assessment Inputs'!$B$4)/'Assessment Inputs'!$B$3</f>
        <v/>
      </c>
      <c r="P34" s="79">
        <f>N34*'Assessment Inputs'!$B$12</f>
        <v/>
      </c>
      <c r="Q34" s="79">
        <f>L34*'Assessment Inputs'!$B$12</f>
        <v/>
      </c>
      <c r="R34" s="51" t="inlineStr">
        <is>
          <t>medium</t>
        </is>
      </c>
      <c r="S34" s="51" t="inlineStr">
        <is>
          <t>483 W Seed Farm Rd, Sacaton, AZ 85147</t>
        </is>
      </c>
    </row>
    <row r="35" ht="15" customHeight="1" s="44">
      <c r="A35" s="51" t="inlineStr">
        <is>
          <t>Phoenix Indian Medical Center</t>
        </is>
      </c>
      <c r="B35" s="51" t="inlineStr">
        <is>
          <t>IHS</t>
        </is>
      </c>
      <c r="C35" s="51" t="inlineStr">
        <is>
          <t>Phoenix</t>
        </is>
      </c>
      <c r="D35" s="51" t="inlineStr">
        <is>
          <t>Maricopa</t>
        </is>
      </c>
      <c r="E35" s="48" t="n">
        <v>5</v>
      </c>
      <c r="F35" s="51" t="inlineStr">
        <is>
          <t>Yes</t>
        </is>
      </c>
      <c r="G35" s="76" t="n">
        <v>0</v>
      </c>
      <c r="H35" s="76" t="n">
        <v>33133565.44</v>
      </c>
      <c r="I35" s="76" t="n">
        <v>0</v>
      </c>
      <c r="J35" s="79">
        <f>H35+I35</f>
        <v/>
      </c>
      <c r="K35" s="79">
        <f>J35-G35</f>
        <v/>
      </c>
      <c r="L35" s="79">
        <f>J35*'Assessment Inputs'!$B$14</f>
        <v/>
      </c>
      <c r="M35" s="79">
        <f>G35*'Assessment Inputs'!$B$14</f>
        <v/>
      </c>
      <c r="N35" s="79">
        <f>L35-M35</f>
        <v/>
      </c>
      <c r="O35" s="79">
        <f>K35*('Assessment Inputs'!$B$3-'Assessment Inputs'!$B$4)/'Assessment Inputs'!$B$3</f>
        <v/>
      </c>
      <c r="P35" s="79">
        <f>N35*'Assessment Inputs'!$B$12</f>
        <v/>
      </c>
      <c r="Q35" s="79">
        <f>L35*'Assessment Inputs'!$B$12</f>
        <v/>
      </c>
      <c r="R35" s="51" t="inlineStr">
        <is>
          <t>high</t>
        </is>
      </c>
      <c r="S35" s="51" t="inlineStr">
        <is>
          <t>4212 N 16th St, Phoenix, AZ 85016</t>
        </is>
      </c>
    </row>
    <row r="36" ht="15" customHeight="1" s="44">
      <c r="A36" s="51" t="inlineStr">
        <is>
          <t>HonorHealth Four Peaks Medical Center (formerly Mountain Vista Medical Center)</t>
        </is>
      </c>
      <c r="B36" s="51" t="inlineStr">
        <is>
          <t>HonorHealth</t>
        </is>
      </c>
      <c r="C36" s="51" t="inlineStr">
        <is>
          <t>Mesa</t>
        </is>
      </c>
      <c r="D36" s="51" t="inlineStr">
        <is>
          <t>Maricopa</t>
        </is>
      </c>
      <c r="E36" s="48" t="n">
        <v>10</v>
      </c>
      <c r="F36" s="51" t="n"/>
      <c r="G36" s="76" t="n">
        <v>19393900.98</v>
      </c>
      <c r="H36" s="76" t="n">
        <v>6268738.46</v>
      </c>
      <c r="I36" s="76" t="n">
        <v>25885239</v>
      </c>
      <c r="J36" s="79">
        <f>H36+I36</f>
        <v/>
      </c>
      <c r="K36" s="79">
        <f>J36-G36</f>
        <v/>
      </c>
      <c r="L36" s="79">
        <f>J36*'Assessment Inputs'!$B$14</f>
        <v/>
      </c>
      <c r="M36" s="79">
        <f>G36*'Assessment Inputs'!$B$14</f>
        <v/>
      </c>
      <c r="N36" s="79">
        <f>L36-M36</f>
        <v/>
      </c>
      <c r="O36" s="79">
        <f>K36*('Assessment Inputs'!$B$3-'Assessment Inputs'!$B$4)/'Assessment Inputs'!$B$3</f>
        <v/>
      </c>
      <c r="P36" s="79">
        <f>N36*'Assessment Inputs'!$B$12</f>
        <v/>
      </c>
      <c r="Q36" s="79">
        <f>L36*'Assessment Inputs'!$B$12</f>
        <v/>
      </c>
      <c r="R36" s="51" t="inlineStr">
        <is>
          <t>medium</t>
        </is>
      </c>
      <c r="S36" s="51" t="inlineStr">
        <is>
          <t>1301 S Crismon Rd, Mesa, AZ 85209</t>
        </is>
      </c>
    </row>
    <row r="37" ht="15" customHeight="1" s="44">
      <c r="A37" s="51" t="inlineStr">
        <is>
          <t>Havasu Regional Medical Center</t>
        </is>
      </c>
      <c r="B37" s="51" t="inlineStr">
        <is>
          <t>Lifepoint Health</t>
        </is>
      </c>
      <c r="C37" s="51" t="inlineStr">
        <is>
          <t>Lake Havasu City</t>
        </is>
      </c>
      <c r="D37" s="51" t="inlineStr">
        <is>
          <t>Mohave</t>
        </is>
      </c>
      <c r="E37" s="48" t="n">
        <v>30</v>
      </c>
      <c r="F37" s="51" t="n"/>
      <c r="G37" s="76" t="n">
        <v>16429891.14</v>
      </c>
      <c r="H37" s="76" t="n">
        <v>8549514.800000001</v>
      </c>
      <c r="I37" s="76" t="n">
        <v>20520638</v>
      </c>
      <c r="J37" s="79">
        <f>H37+I37</f>
        <v/>
      </c>
      <c r="K37" s="79">
        <f>J37-G37</f>
        <v/>
      </c>
      <c r="L37" s="79">
        <f>J37*'Assessment Inputs'!$B$14</f>
        <v/>
      </c>
      <c r="M37" s="79">
        <f>G37*'Assessment Inputs'!$B$14</f>
        <v/>
      </c>
      <c r="N37" s="79">
        <f>L37-M37</f>
        <v/>
      </c>
      <c r="O37" s="79">
        <f>K37*('Assessment Inputs'!$B$3-'Assessment Inputs'!$B$4)/'Assessment Inputs'!$B$3</f>
        <v/>
      </c>
      <c r="P37" s="79">
        <f>N37*'Assessment Inputs'!$B$12</f>
        <v/>
      </c>
      <c r="Q37" s="79">
        <f>L37*'Assessment Inputs'!$B$12</f>
        <v/>
      </c>
      <c r="R37" s="51" t="inlineStr">
        <is>
          <t>high</t>
        </is>
      </c>
      <c r="S37" s="51" t="inlineStr">
        <is>
          <t>101 Civic Center Ln, Lake Havasu City, AZ 86403</t>
        </is>
      </c>
    </row>
    <row r="38" ht="15" customHeight="1" s="44">
      <c r="A38" s="51" t="inlineStr">
        <is>
          <t>Banner Ironwood Medical Center</t>
        </is>
      </c>
      <c r="B38" s="51" t="inlineStr">
        <is>
          <t>Banner Health</t>
        </is>
      </c>
      <c r="C38" s="51" t="inlineStr">
        <is>
          <t>Queen Creek</t>
        </is>
      </c>
      <c r="D38" s="51" t="inlineStr">
        <is>
          <t>Pinal</t>
        </is>
      </c>
      <c r="E38" s="48" t="n">
        <v>15</v>
      </c>
      <c r="F38" s="51" t="n"/>
      <c r="G38" s="76" t="n">
        <v>11742126.95</v>
      </c>
      <c r="H38" s="76" t="n">
        <v>6286952.16</v>
      </c>
      <c r="I38" s="76" t="n">
        <v>20710771</v>
      </c>
      <c r="J38" s="79">
        <f>H38+I38</f>
        <v/>
      </c>
      <c r="K38" s="79">
        <f>J38-G38</f>
        <v/>
      </c>
      <c r="L38" s="79">
        <f>J38*'Assessment Inputs'!$B$14</f>
        <v/>
      </c>
      <c r="M38" s="79">
        <f>G38*'Assessment Inputs'!$B$14</f>
        <v/>
      </c>
      <c r="N38" s="79">
        <f>L38-M38</f>
        <v/>
      </c>
      <c r="O38" s="79">
        <f>K38*('Assessment Inputs'!$B$3-'Assessment Inputs'!$B$4)/'Assessment Inputs'!$B$3</f>
        <v/>
      </c>
      <c r="P38" s="79">
        <f>N38*'Assessment Inputs'!$B$12</f>
        <v/>
      </c>
      <c r="Q38" s="79">
        <f>L38*'Assessment Inputs'!$B$12</f>
        <v/>
      </c>
      <c r="R38" s="51" t="inlineStr">
        <is>
          <t>high</t>
        </is>
      </c>
      <c r="S38" s="51" t="inlineStr">
        <is>
          <t>37000 N Gantzel Rd, Queen Creek, AZ 85140</t>
        </is>
      </c>
    </row>
    <row r="39" ht="15" customHeight="1" s="44">
      <c r="A39" s="51" t="inlineStr">
        <is>
          <t>Cobre Valley Regional Medical Center</t>
        </is>
      </c>
      <c r="B39" s="51" t="inlineStr">
        <is>
          <t>Cobre Valley Regional Medical Center</t>
        </is>
      </c>
      <c r="C39" s="51" t="inlineStr">
        <is>
          <t>Globe</t>
        </is>
      </c>
      <c r="D39" s="51" t="inlineStr">
        <is>
          <t>Gila</t>
        </is>
      </c>
      <c r="E39" s="48" t="n">
        <v>7</v>
      </c>
      <c r="F39" s="51" t="n"/>
      <c r="G39" s="76" t="n">
        <v>3642048.3</v>
      </c>
      <c r="H39" s="76" t="n">
        <v>7253104.45</v>
      </c>
      <c r="I39" s="76" t="n">
        <v>18995582</v>
      </c>
      <c r="J39" s="79">
        <f>H39+I39</f>
        <v/>
      </c>
      <c r="K39" s="79">
        <f>J39-G39</f>
        <v/>
      </c>
      <c r="L39" s="79">
        <f>J39*'Assessment Inputs'!$B$14</f>
        <v/>
      </c>
      <c r="M39" s="79">
        <f>G39*'Assessment Inputs'!$B$14</f>
        <v/>
      </c>
      <c r="N39" s="79">
        <f>L39-M39</f>
        <v/>
      </c>
      <c r="O39" s="79">
        <f>K39*('Assessment Inputs'!$B$3-'Assessment Inputs'!$B$4)/'Assessment Inputs'!$B$3</f>
        <v/>
      </c>
      <c r="P39" s="79">
        <f>N39*'Assessment Inputs'!$B$12</f>
        <v/>
      </c>
      <c r="Q39" s="79">
        <f>L39*'Assessment Inputs'!$B$12</f>
        <v/>
      </c>
      <c r="R39" s="51" t="inlineStr">
        <is>
          <t>medium</t>
        </is>
      </c>
      <c r="S39" s="51" t="inlineStr">
        <is>
          <t>5880 S Hospital Dr, Globe, AZ 85501</t>
        </is>
      </c>
    </row>
    <row r="40" ht="15" customHeight="1" s="44">
      <c r="A40" s="51" t="inlineStr">
        <is>
          <t>Tuba City Regional Health Care Corporation</t>
        </is>
      </c>
      <c r="B40" s="51" t="inlineStr">
        <is>
          <t>Tuba City Regional Health Care Corporation</t>
        </is>
      </c>
      <c r="C40" s="51" t="inlineStr">
        <is>
          <t>Tuba City</t>
        </is>
      </c>
      <c r="D40" s="51" t="inlineStr">
        <is>
          <t>Coconino</t>
        </is>
      </c>
      <c r="E40" s="48" t="n">
        <v>6</v>
      </c>
      <c r="F40" s="51" t="inlineStr">
        <is>
          <t>Yes</t>
        </is>
      </c>
      <c r="G40" s="76" t="n">
        <v>0</v>
      </c>
      <c r="H40" s="76" t="n">
        <v>25856568.41</v>
      </c>
      <c r="I40" s="76" t="n">
        <v>0</v>
      </c>
      <c r="J40" s="79">
        <f>H40+I40</f>
        <v/>
      </c>
      <c r="K40" s="79">
        <f>J40-G40</f>
        <v/>
      </c>
      <c r="L40" s="79">
        <f>J40*'Assessment Inputs'!$B$14</f>
        <v/>
      </c>
      <c r="M40" s="79">
        <f>G40*'Assessment Inputs'!$B$14</f>
        <v/>
      </c>
      <c r="N40" s="79">
        <f>L40-M40</f>
        <v/>
      </c>
      <c r="O40" s="79">
        <f>K40*('Assessment Inputs'!$B$3-'Assessment Inputs'!$B$4)/'Assessment Inputs'!$B$3</f>
        <v/>
      </c>
      <c r="P40" s="79">
        <f>N40*'Assessment Inputs'!$B$12</f>
        <v/>
      </c>
      <c r="Q40" s="79">
        <f>L40*'Assessment Inputs'!$B$12</f>
        <v/>
      </c>
      <c r="R40" s="51" t="inlineStr">
        <is>
          <t>medium</t>
        </is>
      </c>
      <c r="S40" s="51" t="inlineStr">
        <is>
          <t>167 N Main St, Tuba City, AZ 86045</t>
        </is>
      </c>
    </row>
    <row r="41" ht="15" customHeight="1" s="44">
      <c r="A41" s="51" t="inlineStr">
        <is>
          <t>Abrazo Scottsdale Campus</t>
        </is>
      </c>
      <c r="B41" s="51" t="inlineStr">
        <is>
          <t>Abrazo Health Care</t>
        </is>
      </c>
      <c r="C41" s="51" t="inlineStr">
        <is>
          <t>Phoenix</t>
        </is>
      </c>
      <c r="D41" s="51" t="inlineStr">
        <is>
          <t>Maricopa</t>
        </is>
      </c>
      <c r="E41" s="48" t="n">
        <v>4</v>
      </c>
      <c r="F41" s="51" t="n"/>
      <c r="G41" s="76" t="n">
        <v>12837583.74</v>
      </c>
      <c r="H41" s="76" t="n">
        <v>8074448.29</v>
      </c>
      <c r="I41" s="76" t="n">
        <v>16705546</v>
      </c>
      <c r="J41" s="79">
        <f>H41+I41</f>
        <v/>
      </c>
      <c r="K41" s="79">
        <f>J41-G41</f>
        <v/>
      </c>
      <c r="L41" s="79">
        <f>J41*'Assessment Inputs'!$B$14</f>
        <v/>
      </c>
      <c r="M41" s="79">
        <f>G41*'Assessment Inputs'!$B$14</f>
        <v/>
      </c>
      <c r="N41" s="79">
        <f>L41-M41</f>
        <v/>
      </c>
      <c r="O41" s="79">
        <f>K41*('Assessment Inputs'!$B$3-'Assessment Inputs'!$B$4)/'Assessment Inputs'!$B$3</f>
        <v/>
      </c>
      <c r="P41" s="79">
        <f>N41*'Assessment Inputs'!$B$12</f>
        <v/>
      </c>
      <c r="Q41" s="79">
        <f>L41*'Assessment Inputs'!$B$12</f>
        <v/>
      </c>
      <c r="R41" s="51" t="inlineStr">
        <is>
          <t>high</t>
        </is>
      </c>
      <c r="S41" s="51" t="inlineStr">
        <is>
          <t>3929 E Bell Rd, Phoenix, AZ 85032</t>
        </is>
      </c>
    </row>
    <row r="42" ht="15" customHeight="1" s="44">
      <c r="A42" s="51" t="inlineStr">
        <is>
          <t>Canyon Vista Medical Center</t>
        </is>
      </c>
      <c r="B42" s="51" t="inlineStr">
        <is>
          <t>Lifepoint Health</t>
        </is>
      </c>
      <c r="C42" s="51" t="inlineStr">
        <is>
          <t>Sierra Vista</t>
        </is>
      </c>
      <c r="D42" s="51" t="inlineStr">
        <is>
          <t>Cochise</t>
        </is>
      </c>
      <c r="E42" s="48" t="n">
        <v>19</v>
      </c>
      <c r="F42" s="51" t="n"/>
      <c r="G42" s="76" t="n">
        <v>10692028.04</v>
      </c>
      <c r="H42" s="76" t="n">
        <v>6654694.69</v>
      </c>
      <c r="I42" s="76" t="n">
        <v>17916741</v>
      </c>
      <c r="J42" s="79">
        <f>H42+I42</f>
        <v/>
      </c>
      <c r="K42" s="79">
        <f>J42-G42</f>
        <v/>
      </c>
      <c r="L42" s="79">
        <f>J42*'Assessment Inputs'!$B$14</f>
        <v/>
      </c>
      <c r="M42" s="79">
        <f>G42*'Assessment Inputs'!$B$14</f>
        <v/>
      </c>
      <c r="N42" s="79">
        <f>L42-M42</f>
        <v/>
      </c>
      <c r="O42" s="79">
        <f>K42*('Assessment Inputs'!$B$3-'Assessment Inputs'!$B$4)/'Assessment Inputs'!$B$3</f>
        <v/>
      </c>
      <c r="P42" s="79">
        <f>N42*'Assessment Inputs'!$B$12</f>
        <v/>
      </c>
      <c r="Q42" s="79">
        <f>L42*'Assessment Inputs'!$B$12</f>
        <v/>
      </c>
      <c r="R42" s="51" t="inlineStr">
        <is>
          <t>high</t>
        </is>
      </c>
      <c r="S42" s="51" t="inlineStr">
        <is>
          <t>5700 E Highway 90, Sierra Vista, AZ 85635</t>
        </is>
      </c>
    </row>
    <row r="43" ht="15" customHeight="1" s="44">
      <c r="A43" s="51" t="inlineStr">
        <is>
          <t>Verde Valley Medical Center</t>
        </is>
      </c>
      <c r="B43" s="51" t="inlineStr">
        <is>
          <t>Northern Arizona</t>
        </is>
      </c>
      <c r="C43" s="51" t="inlineStr">
        <is>
          <t>Cottonwood</t>
        </is>
      </c>
      <c r="D43" s="51" t="inlineStr">
        <is>
          <t>Yavapai</t>
        </is>
      </c>
      <c r="E43" s="48" t="n">
        <v>1</v>
      </c>
      <c r="F43" s="51" t="n"/>
      <c r="G43" s="76" t="n">
        <v>12242351.88</v>
      </c>
      <c r="H43" s="76" t="n">
        <v>6797298.67</v>
      </c>
      <c r="I43" s="76" t="n">
        <v>16499712</v>
      </c>
      <c r="J43" s="79">
        <f>H43+I43</f>
        <v/>
      </c>
      <c r="K43" s="79">
        <f>J43-G43</f>
        <v/>
      </c>
      <c r="L43" s="79">
        <f>J43*'Assessment Inputs'!$B$14</f>
        <v/>
      </c>
      <c r="M43" s="79">
        <f>G43*'Assessment Inputs'!$B$14</f>
        <v/>
      </c>
      <c r="N43" s="79">
        <f>L43-M43</f>
        <v/>
      </c>
      <c r="O43" s="79">
        <f>K43*('Assessment Inputs'!$B$3-'Assessment Inputs'!$B$4)/'Assessment Inputs'!$B$3</f>
        <v/>
      </c>
      <c r="P43" s="79">
        <f>N43*'Assessment Inputs'!$B$12</f>
        <v/>
      </c>
      <c r="Q43" s="79">
        <f>L43*'Assessment Inputs'!$B$12</f>
        <v/>
      </c>
      <c r="R43" s="51" t="inlineStr">
        <is>
          <t>high</t>
        </is>
      </c>
      <c r="S43" s="51" t="inlineStr">
        <is>
          <t>269 S Candy Ln, Cottonwood, AZ 86326</t>
        </is>
      </c>
    </row>
    <row r="44" ht="15" customHeight="1" s="44">
      <c r="A44" s="51" t="inlineStr">
        <is>
          <t>Valley Hospital (Phoenix)</t>
        </is>
      </c>
      <c r="B44" s="51" t="inlineStr">
        <is>
          <t>Universal Health Services</t>
        </is>
      </c>
      <c r="C44" s="51" t="inlineStr">
        <is>
          <t>Phoenix</t>
        </is>
      </c>
      <c r="D44" s="51" t="inlineStr">
        <is>
          <t>Maricopa</t>
        </is>
      </c>
      <c r="E44" s="48" t="n">
        <v>5</v>
      </c>
      <c r="F44" s="51" t="n"/>
      <c r="G44" s="76" t="n">
        <v>1750753.48</v>
      </c>
      <c r="H44" s="76" t="n">
        <v>17246628.42</v>
      </c>
      <c r="I44" s="76" t="n">
        <v>5892819</v>
      </c>
      <c r="J44" s="79">
        <f>H44+I44</f>
        <v/>
      </c>
      <c r="K44" s="79">
        <f>J44-G44</f>
        <v/>
      </c>
      <c r="L44" s="79">
        <f>J44*'Assessment Inputs'!$B$14</f>
        <v/>
      </c>
      <c r="M44" s="79">
        <f>G44*'Assessment Inputs'!$B$14</f>
        <v/>
      </c>
      <c r="N44" s="79">
        <f>L44-M44</f>
        <v/>
      </c>
      <c r="O44" s="79">
        <f>K44*('Assessment Inputs'!$B$3-'Assessment Inputs'!$B$4)/'Assessment Inputs'!$B$3</f>
        <v/>
      </c>
      <c r="P44" s="79">
        <f>N44*'Assessment Inputs'!$B$12</f>
        <v/>
      </c>
      <c r="Q44" s="79">
        <f>L44*'Assessment Inputs'!$B$12</f>
        <v/>
      </c>
      <c r="R44" s="51" t="inlineStr">
        <is>
          <t>high</t>
        </is>
      </c>
      <c r="S44" s="51" t="inlineStr">
        <is>
          <t>3550 E Pinchot Ave, Phoenix, AZ 85018</t>
        </is>
      </c>
    </row>
    <row r="45" ht="15" customHeight="1" s="44">
      <c r="A45" s="51" t="inlineStr">
        <is>
          <t>Western Arizona Regional Medical Center</t>
        </is>
      </c>
      <c r="B45" s="51" t="inlineStr">
        <is>
          <t>Community Health Systems</t>
        </is>
      </c>
      <c r="C45" s="51" t="inlineStr">
        <is>
          <t>Bullhead City</t>
        </is>
      </c>
      <c r="D45" s="51" t="inlineStr">
        <is>
          <t>Mohave</t>
        </is>
      </c>
      <c r="E45" s="48" t="n">
        <v>30</v>
      </c>
      <c r="F45" s="51" t="n"/>
      <c r="G45" s="76" t="n">
        <v>8023682.33</v>
      </c>
      <c r="H45" s="76" t="n">
        <v>6062825.7</v>
      </c>
      <c r="I45" s="76" t="n">
        <v>15792592</v>
      </c>
      <c r="J45" s="79">
        <f>H45+I45</f>
        <v/>
      </c>
      <c r="K45" s="79">
        <f>J45-G45</f>
        <v/>
      </c>
      <c r="L45" s="79">
        <f>J45*'Assessment Inputs'!$B$14</f>
        <v/>
      </c>
      <c r="M45" s="79">
        <f>G45*'Assessment Inputs'!$B$14</f>
        <v/>
      </c>
      <c r="N45" s="79">
        <f>L45-M45</f>
        <v/>
      </c>
      <c r="O45" s="79">
        <f>K45*('Assessment Inputs'!$B$3-'Assessment Inputs'!$B$4)/'Assessment Inputs'!$B$3</f>
        <v/>
      </c>
      <c r="P45" s="79">
        <f>N45*'Assessment Inputs'!$B$12</f>
        <v/>
      </c>
      <c r="Q45" s="79">
        <f>L45*'Assessment Inputs'!$B$12</f>
        <v/>
      </c>
      <c r="R45" s="51" t="inlineStr">
        <is>
          <t>high</t>
        </is>
      </c>
      <c r="S45" s="51" t="inlineStr">
        <is>
          <t>2735 Silver Creek Rd, Bullhead City, AZ 86442</t>
        </is>
      </c>
    </row>
    <row r="46" ht="15" customHeight="1" s="44">
      <c r="A46" s="51" t="inlineStr">
        <is>
          <t>Mt. Graham Regional Medical Center</t>
        </is>
      </c>
      <c r="B46" s="51" t="inlineStr">
        <is>
          <t>Mt. Graham Regional Medical Center</t>
        </is>
      </c>
      <c r="C46" s="51" t="inlineStr">
        <is>
          <t>Safford</t>
        </is>
      </c>
      <c r="D46" s="51" t="inlineStr">
        <is>
          <t>Graham</t>
        </is>
      </c>
      <c r="E46" s="48" t="n">
        <v>19</v>
      </c>
      <c r="F46" s="51" t="n"/>
      <c r="G46" s="76" t="n">
        <v>3076218.24</v>
      </c>
      <c r="H46" s="76" t="n">
        <v>4698626.59</v>
      </c>
      <c r="I46" s="76" t="n">
        <v>17053068</v>
      </c>
      <c r="J46" s="79">
        <f>H46+I46</f>
        <v/>
      </c>
      <c r="K46" s="79">
        <f>J46-G46</f>
        <v/>
      </c>
      <c r="L46" s="79">
        <f>J46*'Assessment Inputs'!$B$14</f>
        <v/>
      </c>
      <c r="M46" s="79">
        <f>G46*'Assessment Inputs'!$B$14</f>
        <v/>
      </c>
      <c r="N46" s="79">
        <f>L46-M46</f>
        <v/>
      </c>
      <c r="O46" s="79">
        <f>K46*('Assessment Inputs'!$B$3-'Assessment Inputs'!$B$4)/'Assessment Inputs'!$B$3</f>
        <v/>
      </c>
      <c r="P46" s="79">
        <f>N46*'Assessment Inputs'!$B$12</f>
        <v/>
      </c>
      <c r="Q46" s="79">
        <f>L46*'Assessment Inputs'!$B$12</f>
        <v/>
      </c>
      <c r="R46" s="51" t="inlineStr">
        <is>
          <t>high</t>
        </is>
      </c>
      <c r="S46" s="51" t="inlineStr">
        <is>
          <t>1600 S 20th Ave, Safford, AZ 85546</t>
        </is>
      </c>
    </row>
    <row r="47" ht="15" customHeight="1" s="44">
      <c r="A47" s="51" t="inlineStr">
        <is>
          <t>San Carlos Apache Healthcare Corporation</t>
        </is>
      </c>
      <c r="B47" s="51" t="inlineStr">
        <is>
          <t>IHS</t>
        </is>
      </c>
      <c r="C47" s="51" t="inlineStr">
        <is>
          <t>Peridot</t>
        </is>
      </c>
      <c r="D47" s="51" t="inlineStr">
        <is>
          <t>Graham</t>
        </is>
      </c>
      <c r="E47" s="48" t="n">
        <v>6</v>
      </c>
      <c r="F47" s="51" t="inlineStr">
        <is>
          <t>Yes</t>
        </is>
      </c>
      <c r="G47" s="76" t="n">
        <v>0</v>
      </c>
      <c r="H47" s="76" t="n">
        <v>21656570.76</v>
      </c>
      <c r="I47" s="76" t="n">
        <v>0</v>
      </c>
      <c r="J47" s="79">
        <f>H47+I47</f>
        <v/>
      </c>
      <c r="K47" s="79">
        <f>J47-G47</f>
        <v/>
      </c>
      <c r="L47" s="79">
        <f>J47*'Assessment Inputs'!$B$14</f>
        <v/>
      </c>
      <c r="M47" s="79">
        <f>G47*'Assessment Inputs'!$B$14</f>
        <v/>
      </c>
      <c r="N47" s="79">
        <f>L47-M47</f>
        <v/>
      </c>
      <c r="O47" s="79">
        <f>K47*('Assessment Inputs'!$B$3-'Assessment Inputs'!$B$4)/'Assessment Inputs'!$B$3</f>
        <v/>
      </c>
      <c r="P47" s="79">
        <f>N47*'Assessment Inputs'!$B$12</f>
        <v/>
      </c>
      <c r="Q47" s="79">
        <f>L47*'Assessment Inputs'!$B$12</f>
        <v/>
      </c>
      <c r="R47" s="51" t="inlineStr">
        <is>
          <t>medium</t>
        </is>
      </c>
      <c r="S47" s="51" t="inlineStr">
        <is>
          <t>103 Medicine Way Rd, Peridot, AZ 85542</t>
        </is>
      </c>
    </row>
    <row r="48" ht="15" customHeight="1" s="44">
      <c r="A48" s="51" t="inlineStr">
        <is>
          <t>Whiteriver Indian Hospital</t>
        </is>
      </c>
      <c r="B48" s="51" t="inlineStr">
        <is>
          <t>IHS</t>
        </is>
      </c>
      <c r="C48" s="51" t="inlineStr">
        <is>
          <t>Whiteriver</t>
        </is>
      </c>
      <c r="D48" s="51" t="inlineStr">
        <is>
          <t>Navajo</t>
        </is>
      </c>
      <c r="E48" s="48" t="n">
        <v>6</v>
      </c>
      <c r="F48" s="51" t="inlineStr">
        <is>
          <t>Yes</t>
        </is>
      </c>
      <c r="G48" s="76" t="n">
        <v>0</v>
      </c>
      <c r="H48" s="76" t="n">
        <v>21635791.46</v>
      </c>
      <c r="I48" s="76" t="n">
        <v>0</v>
      </c>
      <c r="J48" s="79">
        <f>H48+I48</f>
        <v/>
      </c>
      <c r="K48" s="79">
        <f>J48-G48</f>
        <v/>
      </c>
      <c r="L48" s="79">
        <f>J48*'Assessment Inputs'!$B$14</f>
        <v/>
      </c>
      <c r="M48" s="79">
        <f>G48*'Assessment Inputs'!$B$14</f>
        <v/>
      </c>
      <c r="N48" s="79">
        <f>L48-M48</f>
        <v/>
      </c>
      <c r="O48" s="79">
        <f>K48*('Assessment Inputs'!$B$3-'Assessment Inputs'!$B$4)/'Assessment Inputs'!$B$3</f>
        <v/>
      </c>
      <c r="P48" s="79">
        <f>N48*'Assessment Inputs'!$B$12</f>
        <v/>
      </c>
      <c r="Q48" s="79">
        <f>L48*'Assessment Inputs'!$B$12</f>
        <v/>
      </c>
      <c r="R48" s="51" t="inlineStr">
        <is>
          <t>high</t>
        </is>
      </c>
      <c r="S48" s="51" t="inlineStr">
        <is>
          <t>200 W Hospital Dr, Whiteriver, AZ 85941</t>
        </is>
      </c>
    </row>
    <row r="49" ht="15" customHeight="1" s="44">
      <c r="A49" s="51" t="inlineStr">
        <is>
          <t>Tséhootsooí Medical Center (Fort Defiance Indian Hospital)</t>
        </is>
      </c>
      <c r="B49" s="51" t="inlineStr">
        <is>
          <t>IHS</t>
        </is>
      </c>
      <c r="C49" s="51" t="inlineStr">
        <is>
          <t>Fort Defiance</t>
        </is>
      </c>
      <c r="D49" s="51" t="inlineStr">
        <is>
          <t>Apache</t>
        </is>
      </c>
      <c r="E49" s="48" t="n">
        <v>6</v>
      </c>
      <c r="F49" s="51" t="inlineStr">
        <is>
          <t>Yes</t>
        </is>
      </c>
      <c r="G49" s="76" t="n">
        <v>0</v>
      </c>
      <c r="H49" s="76" t="n">
        <v>20931271.49</v>
      </c>
      <c r="I49" s="76" t="n">
        <v>0</v>
      </c>
      <c r="J49" s="79">
        <f>H49+I49</f>
        <v/>
      </c>
      <c r="K49" s="79">
        <f>J49-G49</f>
        <v/>
      </c>
      <c r="L49" s="79">
        <f>J49*'Assessment Inputs'!$B$14</f>
        <v/>
      </c>
      <c r="M49" s="79">
        <f>G49*'Assessment Inputs'!$B$14</f>
        <v/>
      </c>
      <c r="N49" s="79">
        <f>L49-M49</f>
        <v/>
      </c>
      <c r="O49" s="79">
        <f>K49*('Assessment Inputs'!$B$3-'Assessment Inputs'!$B$4)/'Assessment Inputs'!$B$3</f>
        <v/>
      </c>
      <c r="P49" s="79">
        <f>N49*'Assessment Inputs'!$B$12</f>
        <v/>
      </c>
      <c r="Q49" s="79">
        <f>L49*'Assessment Inputs'!$B$12</f>
        <v/>
      </c>
      <c r="R49" s="51" t="inlineStr">
        <is>
          <t>medium</t>
        </is>
      </c>
      <c r="S49" s="51" t="inlineStr">
        <is>
          <t>Corner of Navajo Route N12 and N7, Fort Defiance, AZ 86504</t>
        </is>
      </c>
    </row>
    <row r="50" ht="15" customHeight="1" s="44">
      <c r="A50" s="51" t="inlineStr">
        <is>
          <t>Chinle Comprehensive Health Care Facility</t>
        </is>
      </c>
      <c r="B50" s="51" t="inlineStr">
        <is>
          <t>IHS</t>
        </is>
      </c>
      <c r="C50" s="51" t="inlineStr">
        <is>
          <t>Chinle</t>
        </is>
      </c>
      <c r="D50" s="51" t="inlineStr">
        <is>
          <t>Apache</t>
        </is>
      </c>
      <c r="E50" s="48" t="n">
        <v>6</v>
      </c>
      <c r="F50" s="51" t="inlineStr">
        <is>
          <t>Yes</t>
        </is>
      </c>
      <c r="G50" s="76" t="n">
        <v>0</v>
      </c>
      <c r="H50" s="76" t="n">
        <v>19771794.36</v>
      </c>
      <c r="I50" s="76" t="n">
        <v>0</v>
      </c>
      <c r="J50" s="79">
        <f>H50+I50</f>
        <v/>
      </c>
      <c r="K50" s="79">
        <f>J50-G50</f>
        <v/>
      </c>
      <c r="L50" s="79">
        <f>J50*'Assessment Inputs'!$B$14</f>
        <v/>
      </c>
      <c r="M50" s="79">
        <f>G50*'Assessment Inputs'!$B$14</f>
        <v/>
      </c>
      <c r="N50" s="79">
        <f>L50-M50</f>
        <v/>
      </c>
      <c r="O50" s="79">
        <f>K50*('Assessment Inputs'!$B$3-'Assessment Inputs'!$B$4)/'Assessment Inputs'!$B$3</f>
        <v/>
      </c>
      <c r="P50" s="79">
        <f>N50*'Assessment Inputs'!$B$12</f>
        <v/>
      </c>
      <c r="Q50" s="79">
        <f>L50*'Assessment Inputs'!$B$12</f>
        <v/>
      </c>
      <c r="R50" s="51" t="inlineStr">
        <is>
          <t>medium</t>
        </is>
      </c>
      <c r="S50" s="51" t="inlineStr">
        <is>
          <t>US Highway 191 and Hospital Rd, Chinle, AZ 86503</t>
        </is>
      </c>
    </row>
    <row r="51" ht="15" customHeight="1" s="44">
      <c r="A51" s="51" t="inlineStr">
        <is>
          <t>Northwest Medical Center Sahuarita</t>
        </is>
      </c>
      <c r="B51" s="51" t="inlineStr">
        <is>
          <t>Community Health Systems</t>
        </is>
      </c>
      <c r="C51" s="51" t="inlineStr">
        <is>
          <t>Sahuarita</t>
        </is>
      </c>
      <c r="D51" s="51" t="inlineStr">
        <is>
          <t>Pima</t>
        </is>
      </c>
      <c r="E51" s="48" t="n">
        <v>21</v>
      </c>
      <c r="F51" s="51" t="n"/>
      <c r="G51" s="76" t="n">
        <v>10072065.2</v>
      </c>
      <c r="H51" s="76" t="n">
        <v>1773815.68</v>
      </c>
      <c r="I51" s="76" t="n">
        <v>17627115</v>
      </c>
      <c r="J51" s="79">
        <f>H51+I51</f>
        <v/>
      </c>
      <c r="K51" s="79">
        <f>J51-G51</f>
        <v/>
      </c>
      <c r="L51" s="79">
        <f>J51*'Assessment Inputs'!$B$14</f>
        <v/>
      </c>
      <c r="M51" s="79">
        <f>G51*'Assessment Inputs'!$B$14</f>
        <v/>
      </c>
      <c r="N51" s="79">
        <f>L51-M51</f>
        <v/>
      </c>
      <c r="O51" s="79">
        <f>K51*('Assessment Inputs'!$B$3-'Assessment Inputs'!$B$4)/'Assessment Inputs'!$B$3</f>
        <v/>
      </c>
      <c r="P51" s="79">
        <f>N51*'Assessment Inputs'!$B$12</f>
        <v/>
      </c>
      <c r="Q51" s="79">
        <f>L51*'Assessment Inputs'!$B$12</f>
        <v/>
      </c>
      <c r="R51" s="51" t="inlineStr">
        <is>
          <t>high</t>
        </is>
      </c>
      <c r="S51" s="51" t="inlineStr">
        <is>
          <t>16260 S Rancho Sahuarita Blvd, Sahuarita, AZ 85629</t>
        </is>
      </c>
    </row>
    <row r="52" ht="15" customHeight="1" s="44">
      <c r="A52" s="51" t="inlineStr">
        <is>
          <t>HonorHealth Tempe Medical Center (formerly Tempe St. Luke's)</t>
        </is>
      </c>
      <c r="B52" s="51" t="inlineStr">
        <is>
          <t>HonorHealth</t>
        </is>
      </c>
      <c r="C52" s="51" t="inlineStr">
        <is>
          <t>Tempe</t>
        </is>
      </c>
      <c r="D52" s="51" t="inlineStr">
        <is>
          <t>Maricopa</t>
        </is>
      </c>
      <c r="E52" s="48" t="n">
        <v>8</v>
      </c>
      <c r="F52" s="51" t="n"/>
      <c r="G52" s="76" t="n">
        <v>7479524.5</v>
      </c>
      <c r="H52" s="76" t="n">
        <v>3800823.85</v>
      </c>
      <c r="I52" s="76" t="n">
        <v>15230857</v>
      </c>
      <c r="J52" s="79">
        <f>H52+I52</f>
        <v/>
      </c>
      <c r="K52" s="79">
        <f>J52-G52</f>
        <v/>
      </c>
      <c r="L52" s="79">
        <f>J52*'Assessment Inputs'!$B$14</f>
        <v/>
      </c>
      <c r="M52" s="79">
        <f>G52*'Assessment Inputs'!$B$14</f>
        <v/>
      </c>
      <c r="N52" s="79">
        <f>L52-M52</f>
        <v/>
      </c>
      <c r="O52" s="79">
        <f>K52*('Assessment Inputs'!$B$3-'Assessment Inputs'!$B$4)/'Assessment Inputs'!$B$3</f>
        <v/>
      </c>
      <c r="P52" s="79">
        <f>N52*'Assessment Inputs'!$B$12</f>
        <v/>
      </c>
      <c r="Q52" s="79">
        <f>L52*'Assessment Inputs'!$B$12</f>
        <v/>
      </c>
      <c r="R52" s="51" t="inlineStr">
        <is>
          <t>high</t>
        </is>
      </c>
      <c r="S52" s="51" t="inlineStr">
        <is>
          <t>1500 S Mill Ave, Tempe, AZ 85281</t>
        </is>
      </c>
    </row>
    <row r="53" ht="15" customHeight="1" s="44">
      <c r="A53" s="51" t="inlineStr">
        <is>
          <t>Holy Cross Hospital (Nogales)</t>
        </is>
      </c>
      <c r="B53" s="51" t="inlineStr">
        <is>
          <t>Abrazo Health Care</t>
        </is>
      </c>
      <c r="C53" s="51" t="inlineStr">
        <is>
          <t>Nogales</t>
        </is>
      </c>
      <c r="D53" s="51" t="inlineStr">
        <is>
          <t>Santa Cruz</t>
        </is>
      </c>
      <c r="E53" s="48" t="n">
        <v>21</v>
      </c>
      <c r="F53" s="51" t="n"/>
      <c r="G53" s="76" t="n">
        <v>2094646.43</v>
      </c>
      <c r="H53" s="76" t="n">
        <v>3942122.73</v>
      </c>
      <c r="I53" s="76" t="n">
        <v>15034646</v>
      </c>
      <c r="J53" s="79">
        <f>H53+I53</f>
        <v/>
      </c>
      <c r="K53" s="79">
        <f>J53-G53</f>
        <v/>
      </c>
      <c r="L53" s="79">
        <f>J53*'Assessment Inputs'!$B$14</f>
        <v/>
      </c>
      <c r="M53" s="79">
        <f>G53*'Assessment Inputs'!$B$14</f>
        <v/>
      </c>
      <c r="N53" s="79">
        <f>L53-M53</f>
        <v/>
      </c>
      <c r="O53" s="79">
        <f>K53*('Assessment Inputs'!$B$3-'Assessment Inputs'!$B$4)/'Assessment Inputs'!$B$3</f>
        <v/>
      </c>
      <c r="P53" s="79">
        <f>N53*'Assessment Inputs'!$B$12</f>
        <v/>
      </c>
      <c r="Q53" s="79">
        <f>L53*'Assessment Inputs'!$B$12</f>
        <v/>
      </c>
      <c r="R53" s="51" t="inlineStr">
        <is>
          <t>high</t>
        </is>
      </c>
      <c r="S53" s="51" t="inlineStr">
        <is>
          <t>1171 W Target Range Rd, Nogales, AZ 85621</t>
        </is>
      </c>
    </row>
    <row r="54" ht="15" customHeight="1" s="44">
      <c r="A54" s="51" t="inlineStr">
        <is>
          <t>Copper Springs Hospital (Avondale)</t>
        </is>
      </c>
      <c r="B54" s="51" t="inlineStr">
        <is>
          <t>Lifepoint Health</t>
        </is>
      </c>
      <c r="C54" s="51" t="inlineStr">
        <is>
          <t>Avondale</t>
        </is>
      </c>
      <c r="D54" s="51" t="inlineStr">
        <is>
          <t>Maricopa</t>
        </is>
      </c>
      <c r="E54" s="48" t="n">
        <v>22</v>
      </c>
      <c r="F54" s="51" t="n"/>
      <c r="G54" s="76" t="n">
        <v>2697554.78</v>
      </c>
      <c r="H54" s="76" t="n">
        <v>9617504.84</v>
      </c>
      <c r="I54" s="76" t="n">
        <v>8779227</v>
      </c>
      <c r="J54" s="79">
        <f>H54+I54</f>
        <v/>
      </c>
      <c r="K54" s="79">
        <f>J54-G54</f>
        <v/>
      </c>
      <c r="L54" s="79">
        <f>J54*'Assessment Inputs'!$B$14</f>
        <v/>
      </c>
      <c r="M54" s="79">
        <f>G54*'Assessment Inputs'!$B$14</f>
        <v/>
      </c>
      <c r="N54" s="79">
        <f>L54-M54</f>
        <v/>
      </c>
      <c r="O54" s="79">
        <f>K54*('Assessment Inputs'!$B$3-'Assessment Inputs'!$B$4)/'Assessment Inputs'!$B$3</f>
        <v/>
      </c>
      <c r="P54" s="79">
        <f>N54*'Assessment Inputs'!$B$12</f>
        <v/>
      </c>
      <c r="Q54" s="79">
        <f>L54*'Assessment Inputs'!$B$12</f>
        <v/>
      </c>
      <c r="R54" s="51" t="inlineStr">
        <is>
          <t>high</t>
        </is>
      </c>
      <c r="S54" s="51" t="inlineStr">
        <is>
          <t>10550 W McDowell Rd, Avondale, AZ 85392</t>
        </is>
      </c>
    </row>
    <row r="55" ht="15" customHeight="1" s="44">
      <c r="A55" s="51" t="inlineStr">
        <is>
          <t>Arizona General Hospital – Laveen</t>
        </is>
      </c>
      <c r="B55" s="51" t="inlineStr">
        <is>
          <t>Dignity Health</t>
        </is>
      </c>
      <c r="C55" s="51" t="inlineStr">
        <is>
          <t>Laveen</t>
        </is>
      </c>
      <c r="D55" s="51" t="inlineStr">
        <is>
          <t>Maricopa</t>
        </is>
      </c>
      <c r="E55" s="48" t="n">
        <v>11</v>
      </c>
      <c r="F55" s="51" t="n"/>
      <c r="G55" s="76" t="n">
        <v>9108901.439999999</v>
      </c>
      <c r="H55" s="76" t="n">
        <v>4375598.4</v>
      </c>
      <c r="I55" s="76" t="n">
        <v>13763481</v>
      </c>
      <c r="J55" s="79">
        <f>H55+I55</f>
        <v/>
      </c>
      <c r="K55" s="79">
        <f>J55-G55</f>
        <v/>
      </c>
      <c r="L55" s="79">
        <f>J55*'Assessment Inputs'!$B$14</f>
        <v/>
      </c>
      <c r="M55" s="79">
        <f>G55*'Assessment Inputs'!$B$14</f>
        <v/>
      </c>
      <c r="N55" s="79">
        <f>L55-M55</f>
        <v/>
      </c>
      <c r="O55" s="79">
        <f>K55*('Assessment Inputs'!$B$3-'Assessment Inputs'!$B$4)/'Assessment Inputs'!$B$3</f>
        <v/>
      </c>
      <c r="P55" s="79">
        <f>N55*'Assessment Inputs'!$B$12</f>
        <v/>
      </c>
      <c r="Q55" s="79">
        <f>L55*'Assessment Inputs'!$B$12</f>
        <v/>
      </c>
      <c r="R55" s="51" t="inlineStr">
        <is>
          <t>high</t>
        </is>
      </c>
      <c r="S55" s="51" t="inlineStr">
        <is>
          <t>7171 S 51st Ave, Laveen, AZ 85339</t>
        </is>
      </c>
    </row>
    <row r="56" ht="15" customHeight="1" s="44">
      <c r="A56" s="51" t="inlineStr">
        <is>
          <t>Mayo Clinic Hospital</t>
        </is>
      </c>
      <c r="B56" s="51" t="inlineStr">
        <is>
          <t>Mayo</t>
        </is>
      </c>
      <c r="C56" s="51" t="inlineStr">
        <is>
          <t>Phoenix</t>
        </is>
      </c>
      <c r="D56" s="51" t="inlineStr">
        <is>
          <t>Maricopa</t>
        </is>
      </c>
      <c r="E56" s="48" t="n">
        <v>4</v>
      </c>
      <c r="F56" s="51" t="n"/>
      <c r="G56" s="76" t="n">
        <v>0</v>
      </c>
      <c r="H56" s="76" t="n">
        <v>12280891.69</v>
      </c>
      <c r="I56" s="76" t="n">
        <v>5814615</v>
      </c>
      <c r="J56" s="79">
        <f>H56+I56</f>
        <v/>
      </c>
      <c r="K56" s="79">
        <f>J56-G56</f>
        <v/>
      </c>
      <c r="L56" s="79">
        <f>J56*'Assessment Inputs'!$B$14</f>
        <v/>
      </c>
      <c r="M56" s="79">
        <f>G56*'Assessment Inputs'!$B$14</f>
        <v/>
      </c>
      <c r="N56" s="79">
        <f>L56-M56</f>
        <v/>
      </c>
      <c r="O56" s="79">
        <f>K56*('Assessment Inputs'!$B$3-'Assessment Inputs'!$B$4)/'Assessment Inputs'!$B$3</f>
        <v/>
      </c>
      <c r="P56" s="79">
        <f>N56*'Assessment Inputs'!$B$12</f>
        <v/>
      </c>
      <c r="Q56" s="79">
        <f>L56*'Assessment Inputs'!$B$12</f>
        <v/>
      </c>
      <c r="R56" s="51" t="inlineStr">
        <is>
          <t>high</t>
        </is>
      </c>
      <c r="S56" s="51" t="inlineStr">
        <is>
          <t>5777 E Mayo Blvd, Phoenix, AZ 85054</t>
        </is>
      </c>
    </row>
    <row r="57" ht="15" customHeight="1" s="44">
      <c r="A57" s="51" t="inlineStr">
        <is>
          <t>Aurora Behavioral Healthcare – Tempe</t>
        </is>
      </c>
      <c r="B57" s="51" t="inlineStr">
        <is>
          <t>Aurora Behavioral Health System</t>
        </is>
      </c>
      <c r="C57" s="51" t="inlineStr">
        <is>
          <t>Tempe</t>
        </is>
      </c>
      <c r="D57" s="51" t="inlineStr">
        <is>
          <t>Maricopa</t>
        </is>
      </c>
      <c r="E57" s="48" t="n">
        <v>12</v>
      </c>
      <c r="F57" s="51" t="n"/>
      <c r="G57" s="76" t="n">
        <v>1558739.72</v>
      </c>
      <c r="H57" s="76" t="n">
        <v>10811250.7</v>
      </c>
      <c r="I57" s="76" t="n">
        <v>6808019</v>
      </c>
      <c r="J57" s="79">
        <f>H57+I57</f>
        <v/>
      </c>
      <c r="K57" s="79">
        <f>J57-G57</f>
        <v/>
      </c>
      <c r="L57" s="79">
        <f>J57*'Assessment Inputs'!$B$14</f>
        <v/>
      </c>
      <c r="M57" s="79">
        <f>G57*'Assessment Inputs'!$B$14</f>
        <v/>
      </c>
      <c r="N57" s="79">
        <f>L57-M57</f>
        <v/>
      </c>
      <c r="O57" s="79">
        <f>K57*('Assessment Inputs'!$B$3-'Assessment Inputs'!$B$4)/'Assessment Inputs'!$B$3</f>
        <v/>
      </c>
      <c r="P57" s="79">
        <f>N57*'Assessment Inputs'!$B$12</f>
        <v/>
      </c>
      <c r="Q57" s="79">
        <f>L57*'Assessment Inputs'!$B$12</f>
        <v/>
      </c>
      <c r="R57" s="51" t="inlineStr">
        <is>
          <t>high</t>
        </is>
      </c>
      <c r="S57" s="51" t="inlineStr">
        <is>
          <t>6350 S Maple Ave, Tempe, AZ 85283</t>
        </is>
      </c>
    </row>
    <row r="58" ht="15" customHeight="1" s="44">
      <c r="A58" s="51" t="inlineStr">
        <is>
          <t>Aurora Behavioral Health System – Glendale</t>
        </is>
      </c>
      <c r="B58" s="51" t="inlineStr">
        <is>
          <t>Aurora Behavioral Health System</t>
        </is>
      </c>
      <c r="C58" s="51" t="inlineStr">
        <is>
          <t>Glendale</t>
        </is>
      </c>
      <c r="D58" s="51" t="inlineStr">
        <is>
          <t>Maricopa</t>
        </is>
      </c>
      <c r="E58" s="48" t="n">
        <v>24</v>
      </c>
      <c r="F58" s="51" t="n"/>
      <c r="G58" s="76" t="n">
        <v>1455339</v>
      </c>
      <c r="H58" s="76" t="n">
        <v>10928243.29</v>
      </c>
      <c r="I58" s="76" t="n">
        <v>6199158</v>
      </c>
      <c r="J58" s="79">
        <f>H58+I58</f>
        <v/>
      </c>
      <c r="K58" s="79">
        <f>J58-G58</f>
        <v/>
      </c>
      <c r="L58" s="79">
        <f>J58*'Assessment Inputs'!$B$14</f>
        <v/>
      </c>
      <c r="M58" s="79">
        <f>G58*'Assessment Inputs'!$B$14</f>
        <v/>
      </c>
      <c r="N58" s="79">
        <f>L58-M58</f>
        <v/>
      </c>
      <c r="O58" s="79">
        <f>K58*('Assessment Inputs'!$B$3-'Assessment Inputs'!$B$4)/'Assessment Inputs'!$B$3</f>
        <v/>
      </c>
      <c r="P58" s="79">
        <f>N58*'Assessment Inputs'!$B$12</f>
        <v/>
      </c>
      <c r="Q58" s="79">
        <f>L58*'Assessment Inputs'!$B$12</f>
        <v/>
      </c>
      <c r="R58" s="51" t="inlineStr">
        <is>
          <t>high</t>
        </is>
      </c>
      <c r="S58" s="51" t="inlineStr">
        <is>
          <t>6015 W Peoria Ave, Glendale, AZ 85302</t>
        </is>
      </c>
    </row>
    <row r="59" ht="15" customHeight="1" s="44">
      <c r="A59" s="51" t="inlineStr">
        <is>
          <t>Copper Queen Community Hospital</t>
        </is>
      </c>
      <c r="B59" s="51" t="inlineStr">
        <is>
          <t>Copper Queen Community Hospital</t>
        </is>
      </c>
      <c r="C59" s="51" t="inlineStr">
        <is>
          <t>Bisbee</t>
        </is>
      </c>
      <c r="D59" s="51" t="inlineStr">
        <is>
          <t>Cochise</t>
        </is>
      </c>
      <c r="E59" s="48" t="n">
        <v>21</v>
      </c>
      <c r="F59" s="51" t="n"/>
      <c r="G59" s="76" t="n">
        <v>1766516.78</v>
      </c>
      <c r="H59" s="76" t="n">
        <v>3922229.72</v>
      </c>
      <c r="I59" s="76" t="n">
        <v>13187462</v>
      </c>
      <c r="J59" s="79">
        <f>H59+I59</f>
        <v/>
      </c>
      <c r="K59" s="79">
        <f>J59-G59</f>
        <v/>
      </c>
      <c r="L59" s="79">
        <f>J59*'Assessment Inputs'!$B$14</f>
        <v/>
      </c>
      <c r="M59" s="79">
        <f>G59*'Assessment Inputs'!$B$14</f>
        <v/>
      </c>
      <c r="N59" s="79">
        <f>L59-M59</f>
        <v/>
      </c>
      <c r="O59" s="79">
        <f>K59*('Assessment Inputs'!$B$3-'Assessment Inputs'!$B$4)/'Assessment Inputs'!$B$3</f>
        <v/>
      </c>
      <c r="P59" s="79">
        <f>N59*'Assessment Inputs'!$B$12</f>
        <v/>
      </c>
      <c r="Q59" s="79">
        <f>L59*'Assessment Inputs'!$B$12</f>
        <v/>
      </c>
      <c r="R59" s="51" t="inlineStr">
        <is>
          <t>high</t>
        </is>
      </c>
      <c r="S59" s="51" t="inlineStr">
        <is>
          <t>101 Cole Ave, Bisbee, AZ 85603</t>
        </is>
      </c>
    </row>
    <row r="60" ht="15" customHeight="1" s="44">
      <c r="A60" s="51" t="inlineStr">
        <is>
          <t>Oro Valley Hospital</t>
        </is>
      </c>
      <c r="B60" s="51" t="inlineStr">
        <is>
          <t>Community Health Systems</t>
        </is>
      </c>
      <c r="C60" s="51" t="inlineStr">
        <is>
          <t>Oro Valley</t>
        </is>
      </c>
      <c r="D60" s="51" t="inlineStr">
        <is>
          <t>Pima</t>
        </is>
      </c>
      <c r="E60" s="48" t="n">
        <v>17</v>
      </c>
      <c r="F60" s="51" t="n"/>
      <c r="G60" s="76" t="n">
        <v>14318556.46</v>
      </c>
      <c r="H60" s="76" t="n">
        <v>5462783.53</v>
      </c>
      <c r="I60" s="76" t="n">
        <v>11501129</v>
      </c>
      <c r="J60" s="79">
        <f>H60+I60</f>
        <v/>
      </c>
      <c r="K60" s="79">
        <f>J60-G60</f>
        <v/>
      </c>
      <c r="L60" s="79">
        <f>J60*'Assessment Inputs'!$B$14</f>
        <v/>
      </c>
      <c r="M60" s="79">
        <f>G60*'Assessment Inputs'!$B$14</f>
        <v/>
      </c>
      <c r="N60" s="79">
        <f>L60-M60</f>
        <v/>
      </c>
      <c r="O60" s="79">
        <f>K60*('Assessment Inputs'!$B$3-'Assessment Inputs'!$B$4)/'Assessment Inputs'!$B$3</f>
        <v/>
      </c>
      <c r="P60" s="79">
        <f>N60*'Assessment Inputs'!$B$12</f>
        <v/>
      </c>
      <c r="Q60" s="79">
        <f>L60*'Assessment Inputs'!$B$12</f>
        <v/>
      </c>
      <c r="R60" s="51" t="inlineStr">
        <is>
          <t>high</t>
        </is>
      </c>
      <c r="S60" s="51" t="inlineStr">
        <is>
          <t>1551 E Tangerine Rd, Oro Valley, AZ 85755</t>
        </is>
      </c>
    </row>
    <row r="61" ht="15" customHeight="1" s="44">
      <c r="A61" s="51" t="inlineStr">
        <is>
          <t>Banner Ocotillo Medical Center</t>
        </is>
      </c>
      <c r="B61" s="51" t="inlineStr">
        <is>
          <t>Banner Health</t>
        </is>
      </c>
      <c r="C61" s="51" t="inlineStr">
        <is>
          <t>Chandler</t>
        </is>
      </c>
      <c r="D61" s="51" t="inlineStr">
        <is>
          <t>Maricopa</t>
        </is>
      </c>
      <c r="E61" s="48" t="n">
        <v>13</v>
      </c>
      <c r="F61" s="51" t="n"/>
      <c r="G61" s="76" t="n">
        <v>9525760.77</v>
      </c>
      <c r="H61" s="76" t="n">
        <v>5048270.47</v>
      </c>
      <c r="I61" s="76" t="n">
        <v>11271215</v>
      </c>
      <c r="J61" s="79">
        <f>H61+I61</f>
        <v/>
      </c>
      <c r="K61" s="79">
        <f>J61-G61</f>
        <v/>
      </c>
      <c r="L61" s="79">
        <f>J61*'Assessment Inputs'!$B$14</f>
        <v/>
      </c>
      <c r="M61" s="79">
        <f>G61*'Assessment Inputs'!$B$14</f>
        <v/>
      </c>
      <c r="N61" s="79">
        <f>L61-M61</f>
        <v/>
      </c>
      <c r="O61" s="79">
        <f>K61*('Assessment Inputs'!$B$3-'Assessment Inputs'!$B$4)/'Assessment Inputs'!$B$3</f>
        <v/>
      </c>
      <c r="P61" s="79">
        <f>N61*'Assessment Inputs'!$B$12</f>
        <v/>
      </c>
      <c r="Q61" s="79">
        <f>L61*'Assessment Inputs'!$B$12</f>
        <v/>
      </c>
      <c r="R61" s="51" t="inlineStr">
        <is>
          <t>high</t>
        </is>
      </c>
      <c r="S61" s="51" t="inlineStr">
        <is>
          <t>1405 S Alma School Rd, Chandler, AZ 85286</t>
        </is>
      </c>
    </row>
    <row r="62" ht="15" customHeight="1" s="44">
      <c r="A62" s="51" t="inlineStr">
        <is>
          <t>Valley View Medical Center</t>
        </is>
      </c>
      <c r="B62" s="51" t="inlineStr">
        <is>
          <t>Lifepoint Health</t>
        </is>
      </c>
      <c r="C62" s="51" t="inlineStr">
        <is>
          <t>Fort Mohave</t>
        </is>
      </c>
      <c r="D62" s="51" t="inlineStr">
        <is>
          <t>Mohave</t>
        </is>
      </c>
      <c r="E62" s="48" t="n">
        <v>30</v>
      </c>
      <c r="F62" s="51" t="n"/>
      <c r="G62" s="76" t="n">
        <v>4434861.09</v>
      </c>
      <c r="H62" s="76" t="n">
        <v>3404880.47</v>
      </c>
      <c r="I62" s="76" t="n">
        <v>11458577</v>
      </c>
      <c r="J62" s="79">
        <f>H62+I62</f>
        <v/>
      </c>
      <c r="K62" s="79">
        <f>J62-G62</f>
        <v/>
      </c>
      <c r="L62" s="79">
        <f>J62*'Assessment Inputs'!$B$14</f>
        <v/>
      </c>
      <c r="M62" s="79">
        <f>G62*'Assessment Inputs'!$B$14</f>
        <v/>
      </c>
      <c r="N62" s="79">
        <f>L62-M62</f>
        <v/>
      </c>
      <c r="O62" s="79">
        <f>K62*('Assessment Inputs'!$B$3-'Assessment Inputs'!$B$4)/'Assessment Inputs'!$B$3</f>
        <v/>
      </c>
      <c r="P62" s="79">
        <f>N62*'Assessment Inputs'!$B$12</f>
        <v/>
      </c>
      <c r="Q62" s="79">
        <f>L62*'Assessment Inputs'!$B$12</f>
        <v/>
      </c>
      <c r="R62" s="51" t="inlineStr">
        <is>
          <t>high</t>
        </is>
      </c>
      <c r="S62" s="51" t="inlineStr">
        <is>
          <t>5330 S Highway 95, Fort Mohave, AZ 86426</t>
        </is>
      </c>
    </row>
    <row r="63" ht="15" customHeight="1" s="44">
      <c r="A63" s="51" t="inlineStr">
        <is>
          <t>Sonora Behavioral Health Hospital</t>
        </is>
      </c>
      <c r="B63" s="51" t="inlineStr">
        <is>
          <t>Acadia Healthcare</t>
        </is>
      </c>
      <c r="C63" s="51" t="inlineStr">
        <is>
          <t>Tucson</t>
        </is>
      </c>
      <c r="D63" s="51" t="inlineStr">
        <is>
          <t>Pima</t>
        </is>
      </c>
      <c r="E63" s="48" t="n">
        <v>18</v>
      </c>
      <c r="F63" s="51" t="n"/>
      <c r="G63" s="76" t="n">
        <v>1415548.21</v>
      </c>
      <c r="H63" s="76" t="n">
        <v>8322710.8</v>
      </c>
      <c r="I63" s="76" t="n">
        <v>6341732</v>
      </c>
      <c r="J63" s="79">
        <f>H63+I63</f>
        <v/>
      </c>
      <c r="K63" s="79">
        <f>J63-G63</f>
        <v/>
      </c>
      <c r="L63" s="79">
        <f>J63*'Assessment Inputs'!$B$14</f>
        <v/>
      </c>
      <c r="M63" s="79">
        <f>G63*'Assessment Inputs'!$B$14</f>
        <v/>
      </c>
      <c r="N63" s="79">
        <f>L63-M63</f>
        <v/>
      </c>
      <c r="O63" s="79">
        <f>K63*('Assessment Inputs'!$B$3-'Assessment Inputs'!$B$4)/'Assessment Inputs'!$B$3</f>
        <v/>
      </c>
      <c r="P63" s="79">
        <f>N63*'Assessment Inputs'!$B$12</f>
        <v/>
      </c>
      <c r="Q63" s="79">
        <f>L63*'Assessment Inputs'!$B$12</f>
        <v/>
      </c>
      <c r="R63" s="51" t="inlineStr">
        <is>
          <t>high</t>
        </is>
      </c>
      <c r="S63" s="51" t="inlineStr">
        <is>
          <t>6050 N Corona Rd, Tucson, AZ 85704</t>
        </is>
      </c>
    </row>
    <row r="64" ht="15" customHeight="1" s="44">
      <c r="A64" s="51" t="inlineStr">
        <is>
          <t>Banner Payson Medical Center</t>
        </is>
      </c>
      <c r="B64" s="51" t="inlineStr">
        <is>
          <t>Banner Health</t>
        </is>
      </c>
      <c r="C64" s="51" t="inlineStr">
        <is>
          <t>Payson</t>
        </is>
      </c>
      <c r="D64" s="51" t="inlineStr">
        <is>
          <t>Gila</t>
        </is>
      </c>
      <c r="E64" s="48" t="n">
        <v>7</v>
      </c>
      <c r="F64" s="51" t="n"/>
      <c r="G64" s="76" t="n">
        <v>2637870.94</v>
      </c>
      <c r="H64" s="76" t="n">
        <v>4004984.23</v>
      </c>
      <c r="I64" s="76" t="n">
        <v>10616517</v>
      </c>
      <c r="J64" s="79">
        <f>H64+I64</f>
        <v/>
      </c>
      <c r="K64" s="79">
        <f>J64-G64</f>
        <v/>
      </c>
      <c r="L64" s="79">
        <f>J64*'Assessment Inputs'!$B$14</f>
        <v/>
      </c>
      <c r="M64" s="79">
        <f>G64*'Assessment Inputs'!$B$14</f>
        <v/>
      </c>
      <c r="N64" s="79">
        <f>L64-M64</f>
        <v/>
      </c>
      <c r="O64" s="79">
        <f>K64*('Assessment Inputs'!$B$3-'Assessment Inputs'!$B$4)/'Assessment Inputs'!$B$3</f>
        <v/>
      </c>
      <c r="P64" s="79">
        <f>N64*'Assessment Inputs'!$B$12</f>
        <v/>
      </c>
      <c r="Q64" s="79">
        <f>L64*'Assessment Inputs'!$B$12</f>
        <v/>
      </c>
      <c r="R64" s="51" t="inlineStr">
        <is>
          <t>medium</t>
        </is>
      </c>
      <c r="S64" s="51" t="inlineStr">
        <is>
          <t>807 S Ponderosa Dr, Payson, AZ 85541</t>
        </is>
      </c>
    </row>
    <row r="65" ht="15" customHeight="1" s="44">
      <c r="A65" s="51" t="inlineStr">
        <is>
          <t>HonorHealth Sonoran Crossing Medical Center</t>
        </is>
      </c>
      <c r="B65" s="51" t="inlineStr">
        <is>
          <t>HonorHealth</t>
        </is>
      </c>
      <c r="C65" s="51" t="inlineStr">
        <is>
          <t>Phoenix</t>
        </is>
      </c>
      <c r="D65" s="51" t="inlineStr">
        <is>
          <t>Maricopa</t>
        </is>
      </c>
      <c r="E65" s="48" t="n">
        <v>3</v>
      </c>
      <c r="F65" s="51" t="n"/>
      <c r="G65" s="76" t="n">
        <v>9697655.119999999</v>
      </c>
      <c r="H65" s="76" t="n">
        <v>4354204.6</v>
      </c>
      <c r="I65" s="76" t="n">
        <v>9672006</v>
      </c>
      <c r="J65" s="79">
        <f>H65+I65</f>
        <v/>
      </c>
      <c r="K65" s="79">
        <f>J65-G65</f>
        <v/>
      </c>
      <c r="L65" s="79">
        <f>J65*'Assessment Inputs'!$B$14</f>
        <v/>
      </c>
      <c r="M65" s="79">
        <f>G65*'Assessment Inputs'!$B$14</f>
        <v/>
      </c>
      <c r="N65" s="79">
        <f>L65-M65</f>
        <v/>
      </c>
      <c r="O65" s="79">
        <f>K65*('Assessment Inputs'!$B$3-'Assessment Inputs'!$B$4)/'Assessment Inputs'!$B$3</f>
        <v/>
      </c>
      <c r="P65" s="79">
        <f>N65*'Assessment Inputs'!$B$12</f>
        <v/>
      </c>
      <c r="Q65" s="79">
        <f>L65*'Assessment Inputs'!$B$12</f>
        <v/>
      </c>
      <c r="R65" s="51" t="inlineStr">
        <is>
          <t>high</t>
        </is>
      </c>
      <c r="S65" s="51" t="inlineStr">
        <is>
          <t>33400 N 32nd Ave, Phoenix, AZ 85085</t>
        </is>
      </c>
    </row>
    <row r="66" ht="15" customHeight="1" s="44">
      <c r="A66" s="51" t="inlineStr">
        <is>
          <t>Banner Behavioral Health Hospital</t>
        </is>
      </c>
      <c r="B66" s="51" t="inlineStr">
        <is>
          <t>Banner Health</t>
        </is>
      </c>
      <c r="C66" s="51" t="inlineStr">
        <is>
          <t>Scottsdale</t>
        </is>
      </c>
      <c r="D66" s="51" t="inlineStr">
        <is>
          <t>Maricopa</t>
        </is>
      </c>
      <c r="E66" s="48" t="n">
        <v>8</v>
      </c>
      <c r="F66" s="51" t="n"/>
      <c r="G66" s="76" t="n">
        <v>2066394.84</v>
      </c>
      <c r="H66" s="76" t="n">
        <v>8752214.15</v>
      </c>
      <c r="I66" s="76" t="n">
        <v>4899447</v>
      </c>
      <c r="J66" s="79">
        <f>H66+I66</f>
        <v/>
      </c>
      <c r="K66" s="79">
        <f>J66-G66</f>
        <v/>
      </c>
      <c r="L66" s="79">
        <f>J66*'Assessment Inputs'!$B$14</f>
        <v/>
      </c>
      <c r="M66" s="79">
        <f>G66*'Assessment Inputs'!$B$14</f>
        <v/>
      </c>
      <c r="N66" s="79">
        <f>L66-M66</f>
        <v/>
      </c>
      <c r="O66" s="79">
        <f>K66*('Assessment Inputs'!$B$3-'Assessment Inputs'!$B$4)/'Assessment Inputs'!$B$3</f>
        <v/>
      </c>
      <c r="P66" s="79">
        <f>N66*'Assessment Inputs'!$B$12</f>
        <v/>
      </c>
      <c r="Q66" s="79">
        <f>L66*'Assessment Inputs'!$B$12</f>
        <v/>
      </c>
      <c r="R66" s="51" t="inlineStr">
        <is>
          <t>high</t>
        </is>
      </c>
      <c r="S66" s="51" t="inlineStr">
        <is>
          <t>7575 E Earll Dr, Scottsdale, AZ 85251</t>
        </is>
      </c>
    </row>
    <row r="67" ht="15" customHeight="1" s="44">
      <c r="A67" s="51" t="inlineStr">
        <is>
          <t>Oasis Behavioral Health Hospital</t>
        </is>
      </c>
      <c r="B67" s="51" t="inlineStr">
        <is>
          <t>Acadia Healthcare</t>
        </is>
      </c>
      <c r="C67" s="51" t="inlineStr">
        <is>
          <t>Chandler</t>
        </is>
      </c>
      <c r="D67" s="51" t="inlineStr">
        <is>
          <t>Maricopa</t>
        </is>
      </c>
      <c r="E67" s="48" t="n">
        <v>12</v>
      </c>
      <c r="F67" s="51" t="n"/>
      <c r="G67" s="76" t="n">
        <v>1147597.76</v>
      </c>
      <c r="H67" s="76" t="n">
        <v>7501652.08</v>
      </c>
      <c r="I67" s="76" t="n">
        <v>5341342</v>
      </c>
      <c r="J67" s="79">
        <f>H67+I67</f>
        <v/>
      </c>
      <c r="K67" s="79">
        <f>J67-G67</f>
        <v/>
      </c>
      <c r="L67" s="79">
        <f>J67*'Assessment Inputs'!$B$14</f>
        <v/>
      </c>
      <c r="M67" s="79">
        <f>G67*'Assessment Inputs'!$B$14</f>
        <v/>
      </c>
      <c r="N67" s="79">
        <f>L67-M67</f>
        <v/>
      </c>
      <c r="O67" s="79">
        <f>K67*('Assessment Inputs'!$B$3-'Assessment Inputs'!$B$4)/'Assessment Inputs'!$B$3</f>
        <v/>
      </c>
      <c r="P67" s="79">
        <f>N67*'Assessment Inputs'!$B$12</f>
        <v/>
      </c>
      <c r="Q67" s="79">
        <f>L67*'Assessment Inputs'!$B$12</f>
        <v/>
      </c>
      <c r="R67" s="51" t="inlineStr">
        <is>
          <t>high</t>
        </is>
      </c>
      <c r="S67" s="51" t="inlineStr">
        <is>
          <t>2190 N Grace Blvd, Chandler, AZ 85225</t>
        </is>
      </c>
    </row>
    <row r="68" ht="15" customHeight="1" s="44">
      <c r="A68" s="51" t="inlineStr">
        <is>
          <t>Cornerstone Behavioral Health Hospital of El Dorado</t>
        </is>
      </c>
      <c r="B68" s="51" t="inlineStr">
        <is>
          <t>Lifepoint Health</t>
        </is>
      </c>
      <c r="C68" s="51" t="inlineStr">
        <is>
          <t>Tucson</t>
        </is>
      </c>
      <c r="D68" s="51" t="inlineStr">
        <is>
          <t>Pima</t>
        </is>
      </c>
      <c r="E68" s="48" t="n">
        <v>18</v>
      </c>
      <c r="F68" s="51" t="n"/>
      <c r="G68" s="76" t="n">
        <v>1001991.34</v>
      </c>
      <c r="H68" s="76" t="n">
        <v>9061268.640000001</v>
      </c>
      <c r="I68" s="76" t="n">
        <v>3689625</v>
      </c>
      <c r="J68" s="79">
        <f>H68+I68</f>
        <v/>
      </c>
      <c r="K68" s="79">
        <f>J68-G68</f>
        <v/>
      </c>
      <c r="L68" s="79">
        <f>J68*'Assessment Inputs'!$B$14</f>
        <v/>
      </c>
      <c r="M68" s="79">
        <f>G68*'Assessment Inputs'!$B$14</f>
        <v/>
      </c>
      <c r="N68" s="79">
        <f>L68-M68</f>
        <v/>
      </c>
      <c r="O68" s="79">
        <f>K68*('Assessment Inputs'!$B$3-'Assessment Inputs'!$B$4)/'Assessment Inputs'!$B$3</f>
        <v/>
      </c>
      <c r="P68" s="79">
        <f>N68*'Assessment Inputs'!$B$12</f>
        <v/>
      </c>
      <c r="Q68" s="79">
        <f>L68*'Assessment Inputs'!$B$12</f>
        <v/>
      </c>
      <c r="R68" s="51" t="inlineStr">
        <is>
          <t>high</t>
        </is>
      </c>
      <c r="S68" s="51" t="inlineStr">
        <is>
          <t>1400 N Wilmot Rd, Tucson, AZ 85712</t>
        </is>
      </c>
    </row>
    <row r="69" ht="15" customHeight="1" s="44">
      <c r="A69" s="51" t="inlineStr">
        <is>
          <t>HonorHealth Scottsdale Thompson Peak Medical Center</t>
        </is>
      </c>
      <c r="B69" s="51" t="inlineStr">
        <is>
          <t>HonorHealth</t>
        </is>
      </c>
      <c r="C69" s="51" t="inlineStr">
        <is>
          <t>Scottsdale</t>
        </is>
      </c>
      <c r="D69" s="51" t="inlineStr">
        <is>
          <t>Maricopa</t>
        </is>
      </c>
      <c r="E69" s="48" t="n">
        <v>3</v>
      </c>
      <c r="F69" s="51" t="n"/>
      <c r="G69" s="76" t="n">
        <v>17881288.72</v>
      </c>
      <c r="H69" s="76" t="n">
        <v>3983812.69</v>
      </c>
      <c r="I69" s="76" t="n">
        <v>7098421</v>
      </c>
      <c r="J69" s="79">
        <f>H69+I69</f>
        <v/>
      </c>
      <c r="K69" s="79">
        <f>J69-G69</f>
        <v/>
      </c>
      <c r="L69" s="79">
        <f>J69*'Assessment Inputs'!$B$14</f>
        <v/>
      </c>
      <c r="M69" s="79">
        <f>G69*'Assessment Inputs'!$B$14</f>
        <v/>
      </c>
      <c r="N69" s="79">
        <f>L69-M69</f>
        <v/>
      </c>
      <c r="O69" s="79">
        <f>K69*('Assessment Inputs'!$B$3-'Assessment Inputs'!$B$4)/'Assessment Inputs'!$B$3</f>
        <v/>
      </c>
      <c r="P69" s="79">
        <f>N69*'Assessment Inputs'!$B$12</f>
        <v/>
      </c>
      <c r="Q69" s="79">
        <f>L69*'Assessment Inputs'!$B$12</f>
        <v/>
      </c>
      <c r="R69" s="51" t="inlineStr">
        <is>
          <t>high</t>
        </is>
      </c>
      <c r="S69" s="51" t="inlineStr">
        <is>
          <t>7400 E Thompson Peak Pkwy, Scottsdale, AZ 85255</t>
        </is>
      </c>
    </row>
    <row r="70" ht="15" customHeight="1" s="44">
      <c r="A70" s="51" t="inlineStr">
        <is>
          <t>Dignity Health Arizona General Hospital – Mesa</t>
        </is>
      </c>
      <c r="B70" s="51" t="inlineStr">
        <is>
          <t>Dignity Health</t>
        </is>
      </c>
      <c r="C70" s="51" t="inlineStr">
        <is>
          <t>Mesa</t>
        </is>
      </c>
      <c r="D70" s="51" t="inlineStr">
        <is>
          <t>Maricopa</t>
        </is>
      </c>
      <c r="E70" s="48" t="n">
        <v>15</v>
      </c>
      <c r="F70" s="51" t="n"/>
      <c r="G70" s="76" t="n">
        <v>11636615.82</v>
      </c>
      <c r="H70" s="76" t="n">
        <v>4123402.81</v>
      </c>
      <c r="I70" s="76" t="n">
        <v>6594126</v>
      </c>
      <c r="J70" s="79">
        <f>H70+I70</f>
        <v/>
      </c>
      <c r="K70" s="79">
        <f>J70-G70</f>
        <v/>
      </c>
      <c r="L70" s="79">
        <f>J70*'Assessment Inputs'!$B$14</f>
        <v/>
      </c>
      <c r="M70" s="79">
        <f>G70*'Assessment Inputs'!$B$14</f>
        <v/>
      </c>
      <c r="N70" s="79">
        <f>L70-M70</f>
        <v/>
      </c>
      <c r="O70" s="79">
        <f>K70*('Assessment Inputs'!$B$3-'Assessment Inputs'!$B$4)/'Assessment Inputs'!$B$3</f>
        <v/>
      </c>
      <c r="P70" s="79">
        <f>N70*'Assessment Inputs'!$B$12</f>
        <v/>
      </c>
      <c r="Q70" s="79">
        <f>L70*'Assessment Inputs'!$B$12</f>
        <v/>
      </c>
      <c r="R70" s="51" t="inlineStr">
        <is>
          <t>medium</t>
        </is>
      </c>
      <c r="S70" s="51" t="inlineStr">
        <is>
          <t>9130 E Elliot Rd, Mesa, AZ 85212</t>
        </is>
      </c>
    </row>
    <row r="71" ht="15" customHeight="1" s="44">
      <c r="A71" s="51" t="inlineStr">
        <is>
          <t>Via Linda Behavioral Hospital</t>
        </is>
      </c>
      <c r="B71" s="51" t="inlineStr">
        <is>
          <t>Universal Health Services</t>
        </is>
      </c>
      <c r="C71" s="51" t="inlineStr">
        <is>
          <t>Scottsdale</t>
        </is>
      </c>
      <c r="D71" s="51" t="inlineStr">
        <is>
          <t>Maricopa</t>
        </is>
      </c>
      <c r="E71" s="48" t="n">
        <v>8</v>
      </c>
      <c r="F71" s="51" t="n"/>
      <c r="G71" s="76" t="n">
        <v>0</v>
      </c>
      <c r="H71" s="76" t="n">
        <v>8367617.21</v>
      </c>
      <c r="I71" s="76" t="n">
        <v>1976196</v>
      </c>
      <c r="J71" s="79">
        <f>H71+I71</f>
        <v/>
      </c>
      <c r="K71" s="79">
        <f>J71-G71</f>
        <v/>
      </c>
      <c r="L71" s="79">
        <f>J71*'Assessment Inputs'!$B$14</f>
        <v/>
      </c>
      <c r="M71" s="79">
        <f>G71*'Assessment Inputs'!$B$14</f>
        <v/>
      </c>
      <c r="N71" s="79">
        <f>L71-M71</f>
        <v/>
      </c>
      <c r="O71" s="79">
        <f>K71*('Assessment Inputs'!$B$3-'Assessment Inputs'!$B$4)/'Assessment Inputs'!$B$3</f>
        <v/>
      </c>
      <c r="P71" s="79">
        <f>N71*'Assessment Inputs'!$B$12</f>
        <v/>
      </c>
      <c r="Q71" s="79">
        <f>L71*'Assessment Inputs'!$B$12</f>
        <v/>
      </c>
      <c r="R71" s="51" t="inlineStr">
        <is>
          <t>medium</t>
        </is>
      </c>
      <c r="S71" s="51" t="inlineStr">
        <is>
          <t>9160 E Horseshoe Rd, Scottsdale, AZ 85258</t>
        </is>
      </c>
    </row>
    <row r="72" ht="15" customHeight="1" s="44">
      <c r="A72" s="51" t="inlineStr">
        <is>
          <t>Little Colorado Medical Center</t>
        </is>
      </c>
      <c r="B72" s="51" t="inlineStr">
        <is>
          <t>Little Colorado</t>
        </is>
      </c>
      <c r="C72" s="51" t="inlineStr">
        <is>
          <t>Winslow</t>
        </is>
      </c>
      <c r="D72" s="51" t="inlineStr">
        <is>
          <t>Navajo</t>
        </is>
      </c>
      <c r="E72" s="48" t="n">
        <v>6</v>
      </c>
      <c r="F72" s="51" t="n"/>
      <c r="G72" s="76" t="n">
        <v>1613601.46</v>
      </c>
      <c r="H72" s="76" t="n">
        <v>3312551.26</v>
      </c>
      <c r="I72" s="76" t="n">
        <v>6701200</v>
      </c>
      <c r="J72" s="79">
        <f>H72+I72</f>
        <v/>
      </c>
      <c r="K72" s="79">
        <f>J72-G72</f>
        <v/>
      </c>
      <c r="L72" s="79">
        <f>J72*'Assessment Inputs'!$B$14</f>
        <v/>
      </c>
      <c r="M72" s="79">
        <f>G72*'Assessment Inputs'!$B$14</f>
        <v/>
      </c>
      <c r="N72" s="79">
        <f>L72-M72</f>
        <v/>
      </c>
      <c r="O72" s="79">
        <f>K72*('Assessment Inputs'!$B$3-'Assessment Inputs'!$B$4)/'Assessment Inputs'!$B$3</f>
        <v/>
      </c>
      <c r="P72" s="79">
        <f>N72*'Assessment Inputs'!$B$12</f>
        <v/>
      </c>
      <c r="Q72" s="79">
        <f>L72*'Assessment Inputs'!$B$12</f>
        <v/>
      </c>
      <c r="R72" s="51" t="inlineStr">
        <is>
          <t>high</t>
        </is>
      </c>
      <c r="S72" s="51" t="inlineStr">
        <is>
          <t>1501 N Williamson Ave, Winslow, AZ 86047</t>
        </is>
      </c>
    </row>
    <row r="73" ht="15" customHeight="1" s="44">
      <c r="A73" s="51" t="inlineStr">
        <is>
          <t>Copper Springs East (Gilbert)</t>
        </is>
      </c>
      <c r="B73" s="51" t="inlineStr">
        <is>
          <t>Lifepoint Health</t>
        </is>
      </c>
      <c r="C73" s="51" t="inlineStr">
        <is>
          <t>Gilbert</t>
        </is>
      </c>
      <c r="D73" s="51" t="inlineStr">
        <is>
          <t>Maricopa</t>
        </is>
      </c>
      <c r="E73" s="48" t="n">
        <v>14</v>
      </c>
      <c r="F73" s="51" t="n"/>
      <c r="G73" s="76" t="n">
        <v>0</v>
      </c>
      <c r="H73" s="76" t="n">
        <v>9637879.84</v>
      </c>
      <c r="I73" s="76" t="n">
        <v>0</v>
      </c>
      <c r="J73" s="79">
        <f>H73+I73</f>
        <v/>
      </c>
      <c r="K73" s="79">
        <f>J73-G73</f>
        <v/>
      </c>
      <c r="L73" s="79">
        <f>J73*'Assessment Inputs'!$B$14</f>
        <v/>
      </c>
      <c r="M73" s="79">
        <f>G73*'Assessment Inputs'!$B$14</f>
        <v/>
      </c>
      <c r="N73" s="79">
        <f>L73-M73</f>
        <v/>
      </c>
      <c r="O73" s="79">
        <f>K73*('Assessment Inputs'!$B$3-'Assessment Inputs'!$B$4)/'Assessment Inputs'!$B$3</f>
        <v/>
      </c>
      <c r="P73" s="79">
        <f>N73*'Assessment Inputs'!$B$12</f>
        <v/>
      </c>
      <c r="Q73" s="79">
        <f>L73*'Assessment Inputs'!$B$12</f>
        <v/>
      </c>
      <c r="R73" s="51" t="inlineStr">
        <is>
          <t>high</t>
        </is>
      </c>
      <c r="S73" s="51" t="inlineStr">
        <is>
          <t>3755 S Rome St, Gilbert, AZ 85297</t>
        </is>
      </c>
    </row>
    <row r="74" ht="15" customHeight="1" s="44">
      <c r="A74" s="51" t="inlineStr">
        <is>
          <t>Palo Verde Behavioral Health</t>
        </is>
      </c>
      <c r="B74" s="51" t="inlineStr">
        <is>
          <t>Universal Health Services</t>
        </is>
      </c>
      <c r="C74" s="51" t="inlineStr">
        <is>
          <t>Tucson</t>
        </is>
      </c>
      <c r="D74" s="51" t="inlineStr">
        <is>
          <t>Pima</t>
        </is>
      </c>
      <c r="E74" s="48" t="n">
        <v>18</v>
      </c>
      <c r="F74" s="51" t="n"/>
      <c r="G74" s="76" t="n">
        <v>1041357.35</v>
      </c>
      <c r="H74" s="76" t="n">
        <v>6499256.63</v>
      </c>
      <c r="I74" s="76" t="n">
        <v>3096227</v>
      </c>
      <c r="J74" s="79">
        <f>H74+I74</f>
        <v/>
      </c>
      <c r="K74" s="79">
        <f>J74-G74</f>
        <v/>
      </c>
      <c r="L74" s="79">
        <f>J74*'Assessment Inputs'!$B$14</f>
        <v/>
      </c>
      <c r="M74" s="79">
        <f>G74*'Assessment Inputs'!$B$14</f>
        <v/>
      </c>
      <c r="N74" s="79">
        <f>L74-M74</f>
        <v/>
      </c>
      <c r="O74" s="79">
        <f>K74*('Assessment Inputs'!$B$3-'Assessment Inputs'!$B$4)/'Assessment Inputs'!$B$3</f>
        <v/>
      </c>
      <c r="P74" s="79">
        <f>N74*'Assessment Inputs'!$B$12</f>
        <v/>
      </c>
      <c r="Q74" s="79">
        <f>L74*'Assessment Inputs'!$B$12</f>
        <v/>
      </c>
      <c r="R74" s="51" t="inlineStr">
        <is>
          <t>high</t>
        </is>
      </c>
      <c r="S74" s="51" t="inlineStr">
        <is>
          <t>2695 N Craycroft Rd, Tucson, AZ 85712</t>
        </is>
      </c>
    </row>
    <row r="75" ht="15" customHeight="1" s="44">
      <c r="A75" s="51" t="inlineStr">
        <is>
          <t>Quail Run Behavioral Health</t>
        </is>
      </c>
      <c r="B75" s="51" t="inlineStr">
        <is>
          <t>Universal Health Services</t>
        </is>
      </c>
      <c r="C75" s="51" t="inlineStr">
        <is>
          <t>Phoenix</t>
        </is>
      </c>
      <c r="D75" s="51" t="inlineStr">
        <is>
          <t>Maricopa</t>
        </is>
      </c>
      <c r="E75" s="48" t="n">
        <v>2</v>
      </c>
      <c r="F75" s="51" t="n"/>
      <c r="G75" s="76" t="n">
        <v>1189312.05</v>
      </c>
      <c r="H75" s="76" t="n">
        <v>5567433.03</v>
      </c>
      <c r="I75" s="76" t="n">
        <v>3993422</v>
      </c>
      <c r="J75" s="79">
        <f>H75+I75</f>
        <v/>
      </c>
      <c r="K75" s="79">
        <f>J75-G75</f>
        <v/>
      </c>
      <c r="L75" s="79">
        <f>J75*'Assessment Inputs'!$B$14</f>
        <v/>
      </c>
      <c r="M75" s="79">
        <f>G75*'Assessment Inputs'!$B$14</f>
        <v/>
      </c>
      <c r="N75" s="79">
        <f>L75-M75</f>
        <v/>
      </c>
      <c r="O75" s="79">
        <f>K75*('Assessment Inputs'!$B$3-'Assessment Inputs'!$B$4)/'Assessment Inputs'!$B$3</f>
        <v/>
      </c>
      <c r="P75" s="79">
        <f>N75*'Assessment Inputs'!$B$12</f>
        <v/>
      </c>
      <c r="Q75" s="79">
        <f>L75*'Assessment Inputs'!$B$12</f>
        <v/>
      </c>
      <c r="R75" s="51" t="inlineStr">
        <is>
          <t>high</t>
        </is>
      </c>
      <c r="S75" s="51" t="inlineStr">
        <is>
          <t>2545 W Quail Ave, Phoenix, AZ 85027</t>
        </is>
      </c>
    </row>
    <row r="76" ht="15" customHeight="1" s="44">
      <c r="A76" s="51" t="inlineStr">
        <is>
          <t>Sage Memorial Hospital</t>
        </is>
      </c>
      <c r="B76" s="51" t="inlineStr">
        <is>
          <t>IHS</t>
        </is>
      </c>
      <c r="C76" s="51" t="inlineStr">
        <is>
          <t>Ganado</t>
        </is>
      </c>
      <c r="D76" s="51" t="inlineStr">
        <is>
          <t>Apache</t>
        </is>
      </c>
      <c r="E76" s="48" t="n">
        <v>6</v>
      </c>
      <c r="F76" s="51" t="inlineStr">
        <is>
          <t>Yes</t>
        </is>
      </c>
      <c r="G76" s="76" t="n">
        <v>0</v>
      </c>
      <c r="H76" s="76" t="n">
        <v>8775256.359999999</v>
      </c>
      <c r="I76" s="76" t="n">
        <v>0</v>
      </c>
      <c r="J76" s="79">
        <f>H76+I76</f>
        <v/>
      </c>
      <c r="K76" s="79">
        <f>J76-G76</f>
        <v/>
      </c>
      <c r="L76" s="79">
        <f>J76*'Assessment Inputs'!$B$14</f>
        <v/>
      </c>
      <c r="M76" s="79">
        <f>G76*'Assessment Inputs'!$B$14</f>
        <v/>
      </c>
      <c r="N76" s="79">
        <f>L76-M76</f>
        <v/>
      </c>
      <c r="O76" s="79">
        <f>K76*('Assessment Inputs'!$B$3-'Assessment Inputs'!$B$4)/'Assessment Inputs'!$B$3</f>
        <v/>
      </c>
      <c r="P76" s="79">
        <f>N76*'Assessment Inputs'!$B$12</f>
        <v/>
      </c>
      <c r="Q76" s="79">
        <f>L76*'Assessment Inputs'!$B$12</f>
        <v/>
      </c>
      <c r="R76" s="51" t="inlineStr">
        <is>
          <t>medium</t>
        </is>
      </c>
      <c r="S76" s="51" t="inlineStr">
        <is>
          <t>Highway 264 and Highway 191, Ganado, AZ 86505</t>
        </is>
      </c>
    </row>
    <row r="77" ht="15" customHeight="1" s="44">
      <c r="A77" s="51" t="inlineStr">
        <is>
          <t>Destiny Springs Healthcare</t>
        </is>
      </c>
      <c r="B77" s="51" t="inlineStr">
        <is>
          <t>Destiny Springs Healthcare</t>
        </is>
      </c>
      <c r="C77" s="51" t="inlineStr">
        <is>
          <t>Surprise</t>
        </is>
      </c>
      <c r="D77" s="51" t="inlineStr">
        <is>
          <t>Maricopa</t>
        </is>
      </c>
      <c r="E77" s="48" t="n">
        <v>28</v>
      </c>
      <c r="F77" s="51" t="n"/>
      <c r="G77" s="76" t="n">
        <v>936785.9</v>
      </c>
      <c r="H77" s="76" t="n">
        <v>3174791.3</v>
      </c>
      <c r="I77" s="76" t="n">
        <v>5203974</v>
      </c>
      <c r="J77" s="79">
        <f>H77+I77</f>
        <v/>
      </c>
      <c r="K77" s="79">
        <f>J77-G77</f>
        <v/>
      </c>
      <c r="L77" s="79">
        <f>J77*'Assessment Inputs'!$B$14</f>
        <v/>
      </c>
      <c r="M77" s="79">
        <f>G77*'Assessment Inputs'!$B$14</f>
        <v/>
      </c>
      <c r="N77" s="79">
        <f>L77-M77</f>
        <v/>
      </c>
      <c r="O77" s="79">
        <f>K77*('Assessment Inputs'!$B$3-'Assessment Inputs'!$B$4)/'Assessment Inputs'!$B$3</f>
        <v/>
      </c>
      <c r="P77" s="79">
        <f>N77*'Assessment Inputs'!$B$12</f>
        <v/>
      </c>
      <c r="Q77" s="79">
        <f>L77*'Assessment Inputs'!$B$12</f>
        <v/>
      </c>
      <c r="R77" s="51" t="inlineStr">
        <is>
          <t>high</t>
        </is>
      </c>
      <c r="S77" s="51" t="inlineStr">
        <is>
          <t>17300 N Dysart Rd, Surprise, AZ 85378</t>
        </is>
      </c>
    </row>
    <row r="78" ht="15" customHeight="1" s="44">
      <c r="A78" s="51" t="inlineStr">
        <is>
          <t>College Medical Center Phoenix (formerly St. Luke's Behavioral Hospital)</t>
        </is>
      </c>
      <c r="B78" s="51" t="inlineStr">
        <is>
          <t>College Health Enterprises</t>
        </is>
      </c>
      <c r="C78" s="51" t="inlineStr">
        <is>
          <t>Phoenix</t>
        </is>
      </c>
      <c r="D78" s="51" t="inlineStr">
        <is>
          <t>Maricopa</t>
        </is>
      </c>
      <c r="E78" s="48" t="n">
        <v>5</v>
      </c>
      <c r="F78" s="51" t="n"/>
      <c r="G78" s="76" t="n">
        <v>1580313.86</v>
      </c>
      <c r="H78" s="76" t="n">
        <v>2083345.91</v>
      </c>
      <c r="I78" s="76" t="n">
        <v>5911125</v>
      </c>
      <c r="J78" s="79">
        <f>H78+I78</f>
        <v/>
      </c>
      <c r="K78" s="79">
        <f>J78-G78</f>
        <v/>
      </c>
      <c r="L78" s="79">
        <f>J78*'Assessment Inputs'!$B$14</f>
        <v/>
      </c>
      <c r="M78" s="79">
        <f>G78*'Assessment Inputs'!$B$14</f>
        <v/>
      </c>
      <c r="N78" s="79">
        <f>L78-M78</f>
        <v/>
      </c>
      <c r="O78" s="79">
        <f>K78*('Assessment Inputs'!$B$3-'Assessment Inputs'!$B$4)/'Assessment Inputs'!$B$3</f>
        <v/>
      </c>
      <c r="P78" s="79">
        <f>N78*'Assessment Inputs'!$B$12</f>
        <v/>
      </c>
      <c r="Q78" s="79">
        <f>L78*'Assessment Inputs'!$B$12</f>
        <v/>
      </c>
      <c r="R78" s="51" t="inlineStr">
        <is>
          <t>high</t>
        </is>
      </c>
      <c r="S78" s="51" t="inlineStr">
        <is>
          <t>1800 E Van Buren St, Phoenix, AZ 85006</t>
        </is>
      </c>
    </row>
    <row r="79" ht="15" customHeight="1" s="44">
      <c r="A79" s="51" t="inlineStr">
        <is>
          <t>Haven Behavioral Hospital of Phoenix</t>
        </is>
      </c>
      <c r="B79" s="51" t="inlineStr">
        <is>
          <t>Haven Senior Horizons</t>
        </is>
      </c>
      <c r="C79" s="51" t="inlineStr">
        <is>
          <t>Phoenix</t>
        </is>
      </c>
      <c r="D79" s="51" t="inlineStr">
        <is>
          <t>Maricopa</t>
        </is>
      </c>
      <c r="E79" s="48" t="n">
        <v>11</v>
      </c>
      <c r="F79" s="51" t="n"/>
      <c r="G79" s="76" t="n">
        <v>0</v>
      </c>
      <c r="H79" s="76" t="n">
        <v>5375815.32</v>
      </c>
      <c r="I79" s="76" t="n">
        <v>2490947</v>
      </c>
      <c r="J79" s="79">
        <f>H79+I79</f>
        <v/>
      </c>
      <c r="K79" s="79">
        <f>J79-G79</f>
        <v/>
      </c>
      <c r="L79" s="79">
        <f>J79*'Assessment Inputs'!$B$14</f>
        <v/>
      </c>
      <c r="M79" s="79">
        <f>G79*'Assessment Inputs'!$B$14</f>
        <v/>
      </c>
      <c r="N79" s="79">
        <f>L79-M79</f>
        <v/>
      </c>
      <c r="O79" s="79">
        <f>K79*('Assessment Inputs'!$B$3-'Assessment Inputs'!$B$4)/'Assessment Inputs'!$B$3</f>
        <v/>
      </c>
      <c r="P79" s="79">
        <f>N79*'Assessment Inputs'!$B$12</f>
        <v/>
      </c>
      <c r="Q79" s="79">
        <f>L79*'Assessment Inputs'!$B$12</f>
        <v/>
      </c>
      <c r="R79" s="51" t="inlineStr">
        <is>
          <t>high</t>
        </is>
      </c>
      <c r="S79" s="51" t="inlineStr">
        <is>
          <t>1201 S 7th Ave, Phoenix, AZ 85007</t>
        </is>
      </c>
    </row>
    <row r="80" ht="15" customHeight="1" s="44">
      <c r="A80" s="51" t="inlineStr">
        <is>
          <t>Banner Goldfield Medical Center</t>
        </is>
      </c>
      <c r="B80" s="51" t="inlineStr">
        <is>
          <t>Banner Health</t>
        </is>
      </c>
      <c r="C80" s="51" t="inlineStr">
        <is>
          <t>Apache Junction</t>
        </is>
      </c>
      <c r="D80" s="51" t="inlineStr">
        <is>
          <t>Pinal</t>
        </is>
      </c>
      <c r="E80" s="48" t="n">
        <v>10</v>
      </c>
      <c r="F80" s="51" t="n"/>
      <c r="G80" s="76" t="n">
        <v>2259520.83</v>
      </c>
      <c r="H80" s="76" t="n">
        <v>1930747.92</v>
      </c>
      <c r="I80" s="76" t="n">
        <v>5672556</v>
      </c>
      <c r="J80" s="79">
        <f>H80+I80</f>
        <v/>
      </c>
      <c r="K80" s="79">
        <f>J80-G80</f>
        <v/>
      </c>
      <c r="L80" s="79">
        <f>J80*'Assessment Inputs'!$B$14</f>
        <v/>
      </c>
      <c r="M80" s="79">
        <f>G80*'Assessment Inputs'!$B$14</f>
        <v/>
      </c>
      <c r="N80" s="79">
        <f>L80-M80</f>
        <v/>
      </c>
      <c r="O80" s="79">
        <f>K80*('Assessment Inputs'!$B$3-'Assessment Inputs'!$B$4)/'Assessment Inputs'!$B$3</f>
        <v/>
      </c>
      <c r="P80" s="79">
        <f>N80*'Assessment Inputs'!$B$12</f>
        <v/>
      </c>
      <c r="Q80" s="79">
        <f>L80*'Assessment Inputs'!$B$12</f>
        <v/>
      </c>
      <c r="R80" s="51" t="inlineStr">
        <is>
          <t>high</t>
        </is>
      </c>
      <c r="S80" s="51" t="inlineStr">
        <is>
          <t>2050 W Southern Ave, Apache Junction, AZ 85120</t>
        </is>
      </c>
    </row>
    <row r="81" ht="15" customHeight="1" s="44">
      <c r="A81" s="51" t="inlineStr">
        <is>
          <t>The CORE Institute Specialty Hospital (The Surgical Hospital of Phoenix)</t>
        </is>
      </c>
      <c r="B81" s="51" t="inlineStr">
        <is>
          <t>Surgical Specialty Hospital of Arizona</t>
        </is>
      </c>
      <c r="C81" s="51" t="inlineStr">
        <is>
          <t>Phoenix</t>
        </is>
      </c>
      <c r="D81" s="51" t="inlineStr">
        <is>
          <t>Maricopa</t>
        </is>
      </c>
      <c r="E81" s="48" t="n">
        <v>26</v>
      </c>
      <c r="F81" s="51" t="n"/>
      <c r="G81" s="76" t="n">
        <v>0</v>
      </c>
      <c r="H81" s="76" t="n">
        <v>5304257.58</v>
      </c>
      <c r="I81" s="76" t="n">
        <v>2275081</v>
      </c>
      <c r="J81" s="79">
        <f>H81+I81</f>
        <v/>
      </c>
      <c r="K81" s="79">
        <f>J81-G81</f>
        <v/>
      </c>
      <c r="L81" s="79">
        <f>J81*'Assessment Inputs'!$B$14</f>
        <v/>
      </c>
      <c r="M81" s="79">
        <f>G81*'Assessment Inputs'!$B$14</f>
        <v/>
      </c>
      <c r="N81" s="79">
        <f>L81-M81</f>
        <v/>
      </c>
      <c r="O81" s="79">
        <f>K81*('Assessment Inputs'!$B$3-'Assessment Inputs'!$B$4)/'Assessment Inputs'!$B$3</f>
        <v/>
      </c>
      <c r="P81" s="79">
        <f>N81*'Assessment Inputs'!$B$12</f>
        <v/>
      </c>
      <c r="Q81" s="79">
        <f>L81*'Assessment Inputs'!$B$12</f>
        <v/>
      </c>
      <c r="R81" s="51" t="inlineStr">
        <is>
          <t>high</t>
        </is>
      </c>
      <c r="S81" s="51" t="inlineStr">
        <is>
          <t>6501 N 19th Ave, Phoenix, AZ 85015</t>
        </is>
      </c>
    </row>
    <row r="82" ht="15" customHeight="1" s="44">
      <c r="A82" s="51" t="inlineStr">
        <is>
          <t>Page Hospital</t>
        </is>
      </c>
      <c r="B82" s="51" t="inlineStr">
        <is>
          <t>Banner Health</t>
        </is>
      </c>
      <c r="C82" s="51" t="inlineStr">
        <is>
          <t>Page</t>
        </is>
      </c>
      <c r="D82" s="51" t="inlineStr">
        <is>
          <t>Coconino</t>
        </is>
      </c>
      <c r="E82" s="48" t="n">
        <v>6</v>
      </c>
      <c r="F82" s="51" t="n"/>
      <c r="G82" s="76" t="n">
        <v>906547.6899999999</v>
      </c>
      <c r="H82" s="76" t="n">
        <v>1464241.3</v>
      </c>
      <c r="I82" s="76" t="n">
        <v>5189227</v>
      </c>
      <c r="J82" s="79">
        <f>H82+I82</f>
        <v/>
      </c>
      <c r="K82" s="79">
        <f>J82-G82</f>
        <v/>
      </c>
      <c r="L82" s="79">
        <f>J82*'Assessment Inputs'!$B$14</f>
        <v/>
      </c>
      <c r="M82" s="79">
        <f>G82*'Assessment Inputs'!$B$14</f>
        <v/>
      </c>
      <c r="N82" s="79">
        <f>L82-M82</f>
        <v/>
      </c>
      <c r="O82" s="79">
        <f>K82*('Assessment Inputs'!$B$3-'Assessment Inputs'!$B$4)/'Assessment Inputs'!$B$3</f>
        <v/>
      </c>
      <c r="P82" s="79">
        <f>N82*'Assessment Inputs'!$B$12</f>
        <v/>
      </c>
      <c r="Q82" s="79">
        <f>L82*'Assessment Inputs'!$B$12</f>
        <v/>
      </c>
      <c r="R82" s="51" t="inlineStr">
        <is>
          <t>medium</t>
        </is>
      </c>
      <c r="S82" s="51" t="inlineStr">
        <is>
          <t>501 N Navajo Dr, Page, AZ 86040</t>
        </is>
      </c>
    </row>
    <row r="83" ht="15" customHeight="1" s="44">
      <c r="A83" s="51" t="inlineStr">
        <is>
          <t>La Paz Regional Hospital</t>
        </is>
      </c>
      <c r="B83" s="51" t="inlineStr">
        <is>
          <t>La Paz Regional Hospital</t>
        </is>
      </c>
      <c r="C83" s="51" t="inlineStr">
        <is>
          <t>Parker</t>
        </is>
      </c>
      <c r="D83" s="51" t="inlineStr">
        <is>
          <t>La Paz</t>
        </is>
      </c>
      <c r="E83" s="48" t="n">
        <v>30</v>
      </c>
      <c r="F83" s="51" t="n"/>
      <c r="G83" s="76" t="n">
        <v>1295184</v>
      </c>
      <c r="H83" s="76" t="n">
        <v>1639858.69</v>
      </c>
      <c r="I83" s="76" t="n">
        <v>4634125</v>
      </c>
      <c r="J83" s="79">
        <f>H83+I83</f>
        <v/>
      </c>
      <c r="K83" s="79">
        <f>J83-G83</f>
        <v/>
      </c>
      <c r="L83" s="79">
        <f>J83*'Assessment Inputs'!$B$14</f>
        <v/>
      </c>
      <c r="M83" s="79">
        <f>G83*'Assessment Inputs'!$B$14</f>
        <v/>
      </c>
      <c r="N83" s="79">
        <f>L83-M83</f>
        <v/>
      </c>
      <c r="O83" s="79">
        <f>K83*('Assessment Inputs'!$B$3-'Assessment Inputs'!$B$4)/'Assessment Inputs'!$B$3</f>
        <v/>
      </c>
      <c r="P83" s="79">
        <f>N83*'Assessment Inputs'!$B$12</f>
        <v/>
      </c>
      <c r="Q83" s="79">
        <f>L83*'Assessment Inputs'!$B$12</f>
        <v/>
      </c>
      <c r="R83" s="51" t="inlineStr">
        <is>
          <t>high</t>
        </is>
      </c>
      <c r="S83" s="51" t="inlineStr">
        <is>
          <t>1200 W Mohave Rd, Parker, AZ 85344</t>
        </is>
      </c>
    </row>
    <row r="84" ht="15" customHeight="1" s="44">
      <c r="A84" s="51" t="inlineStr">
        <is>
          <t>Phoenix Medical Psychiatric Hospital</t>
        </is>
      </c>
      <c r="B84" s="51" t="inlineStr">
        <is>
          <t>NeuroPsychiatric Hospitals</t>
        </is>
      </c>
      <c r="C84" s="51" t="inlineStr">
        <is>
          <t>Phoenix</t>
        </is>
      </c>
      <c r="D84" s="51" t="inlineStr">
        <is>
          <t>Maricopa</t>
        </is>
      </c>
      <c r="E84" s="48" t="n">
        <v>5</v>
      </c>
      <c r="F84" s="51" t="n"/>
      <c r="G84" s="76" t="n">
        <v>0</v>
      </c>
      <c r="H84" s="76" t="n">
        <v>5655720.32</v>
      </c>
      <c r="I84" s="76" t="n">
        <v>312280</v>
      </c>
      <c r="J84" s="79">
        <f>H84+I84</f>
        <v/>
      </c>
      <c r="K84" s="79">
        <f>J84-G84</f>
        <v/>
      </c>
      <c r="L84" s="79">
        <f>J84*'Assessment Inputs'!$B$14</f>
        <v/>
      </c>
      <c r="M84" s="79">
        <f>G84*'Assessment Inputs'!$B$14</f>
        <v/>
      </c>
      <c r="N84" s="79">
        <f>L84-M84</f>
        <v/>
      </c>
      <c r="O84" s="79">
        <f>K84*('Assessment Inputs'!$B$3-'Assessment Inputs'!$B$4)/'Assessment Inputs'!$B$3</f>
        <v/>
      </c>
      <c r="P84" s="79">
        <f>N84*'Assessment Inputs'!$B$12</f>
        <v/>
      </c>
      <c r="Q84" s="79">
        <f>L84*'Assessment Inputs'!$B$12</f>
        <v/>
      </c>
      <c r="R84" s="51" t="inlineStr">
        <is>
          <t>high</t>
        </is>
      </c>
      <c r="S84" s="51" t="inlineStr">
        <is>
          <t>1346 E McDowell Rd, Phoenix, AZ 85006</t>
        </is>
      </c>
    </row>
    <row r="85" ht="15" customHeight="1" s="44">
      <c r="A85" s="51" t="inlineStr">
        <is>
          <t>Benson Hospital</t>
        </is>
      </c>
      <c r="B85" s="51" t="inlineStr">
        <is>
          <t>TMC Healthcare</t>
        </is>
      </c>
      <c r="C85" s="51" t="inlineStr">
        <is>
          <t>Benson</t>
        </is>
      </c>
      <c r="D85" s="51" t="inlineStr">
        <is>
          <t>Cochise</t>
        </is>
      </c>
      <c r="E85" s="48" t="n">
        <v>19</v>
      </c>
      <c r="F85" s="51" t="n"/>
      <c r="G85" s="76" t="n">
        <v>753286.2</v>
      </c>
      <c r="H85" s="76" t="n">
        <v>1223359.79</v>
      </c>
      <c r="I85" s="76" t="n">
        <v>3554398</v>
      </c>
      <c r="J85" s="79">
        <f>H85+I85</f>
        <v/>
      </c>
      <c r="K85" s="79">
        <f>J85-G85</f>
        <v/>
      </c>
      <c r="L85" s="79">
        <f>J85*'Assessment Inputs'!$B$14</f>
        <v/>
      </c>
      <c r="M85" s="79">
        <f>G85*'Assessment Inputs'!$B$14</f>
        <v/>
      </c>
      <c r="N85" s="79">
        <f>L85-M85</f>
        <v/>
      </c>
      <c r="O85" s="79">
        <f>K85*('Assessment Inputs'!$B$3-'Assessment Inputs'!$B$4)/'Assessment Inputs'!$B$3</f>
        <v/>
      </c>
      <c r="P85" s="79">
        <f>N85*'Assessment Inputs'!$B$12</f>
        <v/>
      </c>
      <c r="Q85" s="79">
        <f>L85*'Assessment Inputs'!$B$12</f>
        <v/>
      </c>
      <c r="R85" s="51" t="inlineStr">
        <is>
          <t>high</t>
        </is>
      </c>
      <c r="S85" s="51" t="inlineStr">
        <is>
          <t>450 S Ocotillo Ave, Benson, AZ 85602</t>
        </is>
      </c>
    </row>
    <row r="86" ht="15" customHeight="1" s="44">
      <c r="A86" s="51" t="inlineStr">
        <is>
          <t>Tohono O'odham Nation Sells Hospital</t>
        </is>
      </c>
      <c r="B86" s="51" t="inlineStr">
        <is>
          <t>IHS</t>
        </is>
      </c>
      <c r="C86" s="51" t="inlineStr">
        <is>
          <t>Sells</t>
        </is>
      </c>
      <c r="D86" s="51" t="inlineStr">
        <is>
          <t>Pima</t>
        </is>
      </c>
      <c r="E86" s="48" t="n">
        <v>23</v>
      </c>
      <c r="F86" s="51" t="inlineStr">
        <is>
          <t>Yes</t>
        </is>
      </c>
      <c r="G86" s="76" t="n">
        <v>0</v>
      </c>
      <c r="H86" s="76" t="n">
        <v>4676852.12</v>
      </c>
      <c r="I86" s="76" t="n">
        <v>0</v>
      </c>
      <c r="J86" s="79">
        <f>H86+I86</f>
        <v/>
      </c>
      <c r="K86" s="79">
        <f>J86-G86</f>
        <v/>
      </c>
      <c r="L86" s="79">
        <f>J86*'Assessment Inputs'!$B$14</f>
        <v/>
      </c>
      <c r="M86" s="79">
        <f>G86*'Assessment Inputs'!$B$14</f>
        <v/>
      </c>
      <c r="N86" s="79">
        <f>L86-M86</f>
        <v/>
      </c>
      <c r="O86" s="79">
        <f>K86*('Assessment Inputs'!$B$3-'Assessment Inputs'!$B$4)/'Assessment Inputs'!$B$3</f>
        <v/>
      </c>
      <c r="P86" s="79">
        <f>N86*'Assessment Inputs'!$B$12</f>
        <v/>
      </c>
      <c r="Q86" s="79">
        <f>L86*'Assessment Inputs'!$B$12</f>
        <v/>
      </c>
      <c r="R86" s="51" t="inlineStr">
        <is>
          <t>medium</t>
        </is>
      </c>
      <c r="S86" s="51" t="inlineStr">
        <is>
          <t>Highway 86 at Topawa Rd, Sells, AZ 85634</t>
        </is>
      </c>
    </row>
    <row r="87" ht="15" customHeight="1" s="44">
      <c r="A87" s="51" t="inlineStr">
        <is>
          <t>St. Joseph's Westgate Medical Center</t>
        </is>
      </c>
      <c r="B87" s="51" t="inlineStr">
        <is>
          <t>Dignity Health</t>
        </is>
      </c>
      <c r="C87" s="51" t="inlineStr">
        <is>
          <t>Glendale</t>
        </is>
      </c>
      <c r="D87" s="51" t="inlineStr">
        <is>
          <t>Maricopa</t>
        </is>
      </c>
      <c r="E87" s="48" t="n">
        <v>27</v>
      </c>
      <c r="F87" s="51" t="n"/>
      <c r="G87" s="76" t="n">
        <v>0</v>
      </c>
      <c r="H87" s="76" t="n">
        <v>4530953.19</v>
      </c>
      <c r="I87" s="76" t="n">
        <v>0</v>
      </c>
      <c r="J87" s="79">
        <f>H87+I87</f>
        <v/>
      </c>
      <c r="K87" s="79">
        <f>J87-G87</f>
        <v/>
      </c>
      <c r="L87" s="79">
        <f>J87*'Assessment Inputs'!$B$14</f>
        <v/>
      </c>
      <c r="M87" s="79">
        <f>G87*'Assessment Inputs'!$B$14</f>
        <v/>
      </c>
      <c r="N87" s="79">
        <f>L87-M87</f>
        <v/>
      </c>
      <c r="O87" s="79">
        <f>K87*('Assessment Inputs'!$B$3-'Assessment Inputs'!$B$4)/'Assessment Inputs'!$B$3</f>
        <v/>
      </c>
      <c r="P87" s="79">
        <f>N87*'Assessment Inputs'!$B$12</f>
        <v/>
      </c>
      <c r="Q87" s="79">
        <f>L87*'Assessment Inputs'!$B$12</f>
        <v/>
      </c>
      <c r="R87" s="51" t="inlineStr">
        <is>
          <t>high</t>
        </is>
      </c>
      <c r="S87" s="51" t="inlineStr">
        <is>
          <t>7300 N 99th Ave, Glendale, AZ 85305</t>
        </is>
      </c>
    </row>
    <row r="88" ht="15" customHeight="1" s="44">
      <c r="A88" s="51" t="inlineStr">
        <is>
          <t>Hopi Health Care Center</t>
        </is>
      </c>
      <c r="B88" s="51" t="inlineStr">
        <is>
          <t>IHS</t>
        </is>
      </c>
      <c r="C88" s="51" t="inlineStr">
        <is>
          <t>Polacca</t>
        </is>
      </c>
      <c r="D88" s="51" t="inlineStr">
        <is>
          <t>Navajo</t>
        </is>
      </c>
      <c r="E88" s="48" t="n">
        <v>6</v>
      </c>
      <c r="F88" s="51" t="inlineStr">
        <is>
          <t>Yes</t>
        </is>
      </c>
      <c r="G88" s="76" t="n">
        <v>0</v>
      </c>
      <c r="H88" s="76" t="n">
        <v>4199020.02</v>
      </c>
      <c r="I88" s="76" t="n">
        <v>0</v>
      </c>
      <c r="J88" s="79">
        <f>H88+I88</f>
        <v/>
      </c>
      <c r="K88" s="79">
        <f>J88-G88</f>
        <v/>
      </c>
      <c r="L88" s="79">
        <f>J88*'Assessment Inputs'!$B$14</f>
        <v/>
      </c>
      <c r="M88" s="79">
        <f>G88*'Assessment Inputs'!$B$14</f>
        <v/>
      </c>
      <c r="N88" s="79">
        <f>L88-M88</f>
        <v/>
      </c>
      <c r="O88" s="79">
        <f>K88*('Assessment Inputs'!$B$3-'Assessment Inputs'!$B$4)/'Assessment Inputs'!$B$3</f>
        <v/>
      </c>
      <c r="P88" s="79">
        <f>N88*'Assessment Inputs'!$B$12</f>
        <v/>
      </c>
      <c r="Q88" s="79">
        <f>L88*'Assessment Inputs'!$B$12</f>
        <v/>
      </c>
      <c r="R88" s="51" t="inlineStr">
        <is>
          <t>medium</t>
        </is>
      </c>
      <c r="S88" s="51" t="inlineStr">
        <is>
          <t>Highway 264 Milepost 388, Polacca, AZ 86042</t>
        </is>
      </c>
    </row>
    <row r="89" ht="15" customHeight="1" s="44">
      <c r="A89" s="51" t="inlineStr">
        <is>
          <t>Banner Heart Hospital</t>
        </is>
      </c>
      <c r="B89" s="51" t="inlineStr">
        <is>
          <t>Banner Health</t>
        </is>
      </c>
      <c r="C89" s="51" t="inlineStr">
        <is>
          <t>Mesa</t>
        </is>
      </c>
      <c r="D89" s="51" t="inlineStr">
        <is>
          <t>Maricopa</t>
        </is>
      </c>
      <c r="E89" s="48" t="n">
        <v>10</v>
      </c>
      <c r="F89" s="51" t="n"/>
      <c r="G89" s="76" t="n">
        <v>0</v>
      </c>
      <c r="H89" s="76" t="n">
        <v>3330110.6</v>
      </c>
      <c r="I89" s="76" t="n">
        <v>730636</v>
      </c>
      <c r="J89" s="79">
        <f>H89+I89</f>
        <v/>
      </c>
      <c r="K89" s="79">
        <f>J89-G89</f>
        <v/>
      </c>
      <c r="L89" s="79">
        <f>J89*'Assessment Inputs'!$B$14</f>
        <v/>
      </c>
      <c r="M89" s="79">
        <f>G89*'Assessment Inputs'!$B$14</f>
        <v/>
      </c>
      <c r="N89" s="79">
        <f>L89-M89</f>
        <v/>
      </c>
      <c r="O89" s="79">
        <f>K89*('Assessment Inputs'!$B$3-'Assessment Inputs'!$B$4)/'Assessment Inputs'!$B$3</f>
        <v/>
      </c>
      <c r="P89" s="79">
        <f>N89*'Assessment Inputs'!$B$12</f>
        <v/>
      </c>
      <c r="Q89" s="79">
        <f>L89*'Assessment Inputs'!$B$12</f>
        <v/>
      </c>
      <c r="R89" s="51" t="inlineStr">
        <is>
          <t>high</t>
        </is>
      </c>
      <c r="S89" s="51" t="inlineStr">
        <is>
          <t>6750 E Baywood Ave, Mesa, AZ 85206</t>
        </is>
      </c>
    </row>
    <row r="90" ht="15" customHeight="1" s="44">
      <c r="A90" s="51" t="inlineStr">
        <is>
          <t>Banner Rehabilitation Hospital West (Peoria)</t>
        </is>
      </c>
      <c r="B90" s="51" t="inlineStr">
        <is>
          <t>Select Medical</t>
        </is>
      </c>
      <c r="C90" s="51" t="inlineStr">
        <is>
          <t>Peoria</t>
        </is>
      </c>
      <c r="D90" s="51" t="inlineStr">
        <is>
          <t>Maricopa</t>
        </is>
      </c>
      <c r="E90" s="48" t="n">
        <v>28</v>
      </c>
      <c r="F90" s="51" t="n"/>
      <c r="G90" s="76" t="n">
        <v>0</v>
      </c>
      <c r="H90" s="76" t="n">
        <v>2341947.62</v>
      </c>
      <c r="I90" s="76" t="n">
        <v>1672687</v>
      </c>
      <c r="J90" s="79">
        <f>H90+I90</f>
        <v/>
      </c>
      <c r="K90" s="79">
        <f>J90-G90</f>
        <v/>
      </c>
      <c r="L90" s="79">
        <f>J90*'Assessment Inputs'!$B$14</f>
        <v/>
      </c>
      <c r="M90" s="79">
        <f>G90*'Assessment Inputs'!$B$14</f>
        <v/>
      </c>
      <c r="N90" s="79">
        <f>L90-M90</f>
        <v/>
      </c>
      <c r="O90" s="79">
        <f>K90*('Assessment Inputs'!$B$3-'Assessment Inputs'!$B$4)/'Assessment Inputs'!$B$3</f>
        <v/>
      </c>
      <c r="P90" s="79">
        <f>N90*'Assessment Inputs'!$B$12</f>
        <v/>
      </c>
      <c r="Q90" s="79">
        <f>L90*'Assessment Inputs'!$B$12</f>
        <v/>
      </c>
      <c r="R90" s="51" t="inlineStr">
        <is>
          <t>high</t>
        </is>
      </c>
      <c r="S90" s="51" t="inlineStr">
        <is>
          <t>12740 N Plaza Del Rio Blvd, Peoria, AZ 85381</t>
        </is>
      </c>
    </row>
    <row r="91" ht="15" customHeight="1" s="44">
      <c r="A91" s="51" t="inlineStr">
        <is>
          <t>Wickenburg Community Hospital</t>
        </is>
      </c>
      <c r="B91" s="51" t="inlineStr">
        <is>
          <t>Wickenburg Community Hospital</t>
        </is>
      </c>
      <c r="C91" s="51" t="inlineStr">
        <is>
          <t>Wickenburg</t>
        </is>
      </c>
      <c r="D91" s="51" t="inlineStr">
        <is>
          <t>Maricopa</t>
        </is>
      </c>
      <c r="E91" s="48" t="n">
        <v>30</v>
      </c>
      <c r="F91" s="51" t="n"/>
      <c r="G91" s="76" t="n">
        <v>1116899.16</v>
      </c>
      <c r="H91" s="76" t="n">
        <v>1043091.66</v>
      </c>
      <c r="I91" s="76" t="n">
        <v>2659926</v>
      </c>
      <c r="J91" s="79">
        <f>H91+I91</f>
        <v/>
      </c>
      <c r="K91" s="79">
        <f>J91-G91</f>
        <v/>
      </c>
      <c r="L91" s="79">
        <f>J91*'Assessment Inputs'!$B$14</f>
        <v/>
      </c>
      <c r="M91" s="79">
        <f>G91*'Assessment Inputs'!$B$14</f>
        <v/>
      </c>
      <c r="N91" s="79">
        <f>L91-M91</f>
        <v/>
      </c>
      <c r="O91" s="79">
        <f>K91*('Assessment Inputs'!$B$3-'Assessment Inputs'!$B$4)/'Assessment Inputs'!$B$3</f>
        <v/>
      </c>
      <c r="P91" s="79">
        <f>N91*'Assessment Inputs'!$B$12</f>
        <v/>
      </c>
      <c r="Q91" s="79">
        <f>L91*'Assessment Inputs'!$B$12</f>
        <v/>
      </c>
      <c r="R91" s="51" t="inlineStr">
        <is>
          <t>high</t>
        </is>
      </c>
      <c r="S91" s="51" t="inlineStr">
        <is>
          <t>520 Rose Ln, Wickenburg, AZ 85390</t>
        </is>
      </c>
    </row>
    <row r="92" ht="15" customHeight="1" s="44">
      <c r="A92" s="51" t="inlineStr">
        <is>
          <t>Avenir Behavioral Health Center</t>
        </is>
      </c>
      <c r="B92" s="51" t="inlineStr">
        <is>
          <t>Avenir</t>
        </is>
      </c>
      <c r="C92" s="51" t="inlineStr">
        <is>
          <t>Surprise</t>
        </is>
      </c>
      <c r="D92" s="51" t="inlineStr">
        <is>
          <t>Maricopa</t>
        </is>
      </c>
      <c r="E92" s="48" t="n">
        <v>29</v>
      </c>
      <c r="F92" s="51" t="n"/>
      <c r="G92" s="76" t="n">
        <v>0</v>
      </c>
      <c r="H92" s="76" t="n">
        <v>3004036.4</v>
      </c>
      <c r="I92" s="76" t="n">
        <v>689363</v>
      </c>
      <c r="J92" s="79">
        <f>H92+I92</f>
        <v/>
      </c>
      <c r="K92" s="79">
        <f>J92-G92</f>
        <v/>
      </c>
      <c r="L92" s="79">
        <f>J92*'Assessment Inputs'!$B$14</f>
        <v/>
      </c>
      <c r="M92" s="79">
        <f>G92*'Assessment Inputs'!$B$14</f>
        <v/>
      </c>
      <c r="N92" s="79">
        <f>L92-M92</f>
        <v/>
      </c>
      <c r="O92" s="79">
        <f>K92*('Assessment Inputs'!$B$3-'Assessment Inputs'!$B$4)/'Assessment Inputs'!$B$3</f>
        <v/>
      </c>
      <c r="P92" s="79">
        <f>N92*'Assessment Inputs'!$B$12</f>
        <v/>
      </c>
      <c r="Q92" s="79">
        <f>L92*'Assessment Inputs'!$B$12</f>
        <v/>
      </c>
      <c r="R92" s="51" t="inlineStr">
        <is>
          <t>high</t>
        </is>
      </c>
      <c r="S92" s="51" t="inlineStr">
        <is>
          <t>16561 N Parkview Pl, Surprise, AZ 85374</t>
        </is>
      </c>
    </row>
    <row r="93" ht="15" customHeight="1" s="44">
      <c r="A93" s="51" t="inlineStr">
        <is>
          <t>White Mountain Regional Medical Center</t>
        </is>
      </c>
      <c r="B93" s="51" t="inlineStr">
        <is>
          <t>White Mountain Regional Medical Center</t>
        </is>
      </c>
      <c r="C93" s="51" t="inlineStr">
        <is>
          <t>Springerville</t>
        </is>
      </c>
      <c r="D93" s="51" t="inlineStr">
        <is>
          <t>Apache</t>
        </is>
      </c>
      <c r="E93" s="48" t="n">
        <v>6</v>
      </c>
      <c r="F93" s="51" t="n"/>
      <c r="G93" s="76" t="n">
        <v>790968.61</v>
      </c>
      <c r="H93" s="76" t="n">
        <v>927806.91</v>
      </c>
      <c r="I93" s="76" t="n">
        <v>2509476</v>
      </c>
      <c r="J93" s="79">
        <f>H93+I93</f>
        <v/>
      </c>
      <c r="K93" s="79">
        <f>J93-G93</f>
        <v/>
      </c>
      <c r="L93" s="79">
        <f>J93*'Assessment Inputs'!$B$14</f>
        <v/>
      </c>
      <c r="M93" s="79">
        <f>G93*'Assessment Inputs'!$B$14</f>
        <v/>
      </c>
      <c r="N93" s="79">
        <f>L93-M93</f>
        <v/>
      </c>
      <c r="O93" s="79">
        <f>K93*('Assessment Inputs'!$B$3-'Assessment Inputs'!$B$4)/'Assessment Inputs'!$B$3</f>
        <v/>
      </c>
      <c r="P93" s="79">
        <f>N93*'Assessment Inputs'!$B$12</f>
        <v/>
      </c>
      <c r="Q93" s="79">
        <f>L93*'Assessment Inputs'!$B$12</f>
        <v/>
      </c>
      <c r="R93" s="51" t="inlineStr">
        <is>
          <t>high</t>
        </is>
      </c>
      <c r="S93" s="51" t="inlineStr">
        <is>
          <t>118 S Mountain Ave, Springerville, AZ 85938</t>
        </is>
      </c>
    </row>
    <row r="94" ht="15" customHeight="1" s="44">
      <c r="A94" s="51" t="inlineStr">
        <is>
          <t>Northwest Medical Center Houghton</t>
        </is>
      </c>
      <c r="B94" s="51" t="inlineStr">
        <is>
          <t>Community Health Systems</t>
        </is>
      </c>
      <c r="C94" s="51" t="inlineStr">
        <is>
          <t>Tucson</t>
        </is>
      </c>
      <c r="D94" s="51" t="inlineStr">
        <is>
          <t>Pima</t>
        </is>
      </c>
      <c r="E94" s="48" t="n">
        <v>17</v>
      </c>
      <c r="F94" s="51" t="n"/>
      <c r="G94" s="76" t="n">
        <v>0</v>
      </c>
      <c r="H94" s="76" t="n">
        <v>3054126.38</v>
      </c>
      <c r="I94" s="76" t="n">
        <v>0</v>
      </c>
      <c r="J94" s="79">
        <f>H94+I94</f>
        <v/>
      </c>
      <c r="K94" s="79">
        <f>J94-G94</f>
        <v/>
      </c>
      <c r="L94" s="79">
        <f>J94*'Assessment Inputs'!$B$14</f>
        <v/>
      </c>
      <c r="M94" s="79">
        <f>G94*'Assessment Inputs'!$B$14</f>
        <v/>
      </c>
      <c r="N94" s="79">
        <f>L94-M94</f>
        <v/>
      </c>
      <c r="O94" s="79">
        <f>K94*('Assessment Inputs'!$B$3-'Assessment Inputs'!$B$4)/'Assessment Inputs'!$B$3</f>
        <v/>
      </c>
      <c r="P94" s="79">
        <f>N94*'Assessment Inputs'!$B$12</f>
        <v/>
      </c>
      <c r="Q94" s="79">
        <f>L94*'Assessment Inputs'!$B$12</f>
        <v/>
      </c>
      <c r="R94" s="51" t="inlineStr">
        <is>
          <t>high</t>
        </is>
      </c>
      <c r="S94" s="51" t="inlineStr">
        <is>
          <t>2200 S Houghton Rd, Tucson, AZ 85748</t>
        </is>
      </c>
    </row>
    <row r="95" ht="15" customHeight="1" s="44">
      <c r="A95" s="51" t="inlineStr">
        <is>
          <t>City of Hope Cancer Center Phoenix (formerly CTCA Western Regional)</t>
        </is>
      </c>
      <c r="B95" s="51" t="inlineStr">
        <is>
          <t>City of Hope</t>
        </is>
      </c>
      <c r="C95" s="51" t="inlineStr">
        <is>
          <t>Goodyear</t>
        </is>
      </c>
      <c r="D95" s="51" t="inlineStr">
        <is>
          <t>Maricopa</t>
        </is>
      </c>
      <c r="E95" s="48" t="n">
        <v>23</v>
      </c>
      <c r="F95" s="51" t="n"/>
      <c r="G95" s="76" t="n">
        <v>0</v>
      </c>
      <c r="H95" s="76" t="n">
        <v>2876416.59</v>
      </c>
      <c r="I95" s="76" t="n">
        <v>64249</v>
      </c>
      <c r="J95" s="79">
        <f>H95+I95</f>
        <v/>
      </c>
      <c r="K95" s="79">
        <f>J95-G95</f>
        <v/>
      </c>
      <c r="L95" s="79">
        <f>J95*'Assessment Inputs'!$B$14</f>
        <v/>
      </c>
      <c r="M95" s="79">
        <f>G95*'Assessment Inputs'!$B$14</f>
        <v/>
      </c>
      <c r="N95" s="79">
        <f>L95-M95</f>
        <v/>
      </c>
      <c r="O95" s="79">
        <f>K95*('Assessment Inputs'!$B$3-'Assessment Inputs'!$B$4)/'Assessment Inputs'!$B$3</f>
        <v/>
      </c>
      <c r="P95" s="79">
        <f>N95*'Assessment Inputs'!$B$12</f>
        <v/>
      </c>
      <c r="Q95" s="79">
        <f>L95*'Assessment Inputs'!$B$12</f>
        <v/>
      </c>
      <c r="R95" s="51" t="inlineStr">
        <is>
          <t>medium</t>
        </is>
      </c>
      <c r="S95" s="51" t="inlineStr">
        <is>
          <t>14200 W Celebrate Life Way, Goodyear, AZ 85338</t>
        </is>
      </c>
    </row>
    <row r="96" ht="15" customHeight="1" s="44">
      <c r="A96" s="51" t="inlineStr">
        <is>
          <t>Northern Cochise Community Hospital</t>
        </is>
      </c>
      <c r="B96" s="51" t="inlineStr">
        <is>
          <t>TMC Healthcare</t>
        </is>
      </c>
      <c r="C96" s="51" t="inlineStr">
        <is>
          <t>Willcox</t>
        </is>
      </c>
      <c r="D96" s="51" t="inlineStr">
        <is>
          <t>Cochise</t>
        </is>
      </c>
      <c r="E96" s="48" t="n">
        <v>19</v>
      </c>
      <c r="F96" s="51" t="n"/>
      <c r="G96" s="76" t="n">
        <v>504323.88</v>
      </c>
      <c r="H96" s="76" t="n">
        <v>709832.49</v>
      </c>
      <c r="I96" s="76" t="n">
        <v>1946874</v>
      </c>
      <c r="J96" s="79">
        <f>H96+I96</f>
        <v/>
      </c>
      <c r="K96" s="79">
        <f>J96-G96</f>
        <v/>
      </c>
      <c r="L96" s="79">
        <f>J96*'Assessment Inputs'!$B$14</f>
        <v/>
      </c>
      <c r="M96" s="79">
        <f>G96*'Assessment Inputs'!$B$14</f>
        <v/>
      </c>
      <c r="N96" s="79">
        <f>L96-M96</f>
        <v/>
      </c>
      <c r="O96" s="79">
        <f>K96*('Assessment Inputs'!$B$3-'Assessment Inputs'!$B$4)/'Assessment Inputs'!$B$3</f>
        <v/>
      </c>
      <c r="P96" s="79">
        <f>N96*'Assessment Inputs'!$B$12</f>
        <v/>
      </c>
      <c r="Q96" s="79">
        <f>L96*'Assessment Inputs'!$B$12</f>
        <v/>
      </c>
      <c r="R96" s="51" t="inlineStr">
        <is>
          <t>high</t>
        </is>
      </c>
      <c r="S96" s="51" t="inlineStr">
        <is>
          <t>901 W Rex Allen Dr, Willcox, AZ 85643</t>
        </is>
      </c>
    </row>
    <row r="97" ht="15" customHeight="1" s="44">
      <c r="A97" s="51" t="inlineStr">
        <is>
          <t>Windhaven Psychiatric Hospital (Polara Health)</t>
        </is>
      </c>
      <c r="B97" s="51" t="inlineStr">
        <is>
          <t>Polara Health</t>
        </is>
      </c>
      <c r="C97" s="51" t="inlineStr">
        <is>
          <t>Prescott Valley</t>
        </is>
      </c>
      <c r="D97" s="51" t="inlineStr">
        <is>
          <t>Yavapai</t>
        </is>
      </c>
      <c r="E97" s="48" t="n">
        <v>1</v>
      </c>
      <c r="F97" s="51" t="n"/>
      <c r="G97" s="76" t="n">
        <v>0</v>
      </c>
      <c r="H97" s="76" t="n">
        <v>1995950.1</v>
      </c>
      <c r="I97" s="76" t="n">
        <v>621982</v>
      </c>
      <c r="J97" s="79">
        <f>H97+I97</f>
        <v/>
      </c>
      <c r="K97" s="79">
        <f>J97-G97</f>
        <v/>
      </c>
      <c r="L97" s="79">
        <f>J97*'Assessment Inputs'!$B$14</f>
        <v/>
      </c>
      <c r="M97" s="79">
        <f>G97*'Assessment Inputs'!$B$14</f>
        <v/>
      </c>
      <c r="N97" s="79">
        <f>L97-M97</f>
        <v/>
      </c>
      <c r="O97" s="79">
        <f>K97*('Assessment Inputs'!$B$3-'Assessment Inputs'!$B$4)/'Assessment Inputs'!$B$3</f>
        <v/>
      </c>
      <c r="P97" s="79">
        <f>N97*'Assessment Inputs'!$B$12</f>
        <v/>
      </c>
      <c r="Q97" s="79">
        <f>L97*'Assessment Inputs'!$B$12</f>
        <v/>
      </c>
      <c r="R97" s="51" t="inlineStr">
        <is>
          <t>high</t>
        </is>
      </c>
      <c r="S97" s="51" t="inlineStr">
        <is>
          <t>3347 N Windsong Dr, Prescott Valley, AZ 86314</t>
        </is>
      </c>
    </row>
    <row r="98" ht="15" customHeight="1" s="44">
      <c r="A98" s="51" t="inlineStr">
        <is>
          <t>Encompass Health Rehabilitation Hospital of East Valley</t>
        </is>
      </c>
      <c r="B98" s="51" t="inlineStr">
        <is>
          <t>Encompass Health</t>
        </is>
      </c>
      <c r="C98" s="51" t="inlineStr">
        <is>
          <t>Mesa</t>
        </is>
      </c>
      <c r="D98" s="51" t="inlineStr">
        <is>
          <t>Maricopa</t>
        </is>
      </c>
      <c r="E98" s="48" t="n">
        <v>10</v>
      </c>
      <c r="F98" s="51" t="n"/>
      <c r="G98" s="76" t="n">
        <v>0</v>
      </c>
      <c r="H98" s="76" t="n">
        <v>1562409.68</v>
      </c>
      <c r="I98" s="76" t="n">
        <v>959829</v>
      </c>
      <c r="J98" s="79">
        <f>H98+I98</f>
        <v/>
      </c>
      <c r="K98" s="79">
        <f>J98-G98</f>
        <v/>
      </c>
      <c r="L98" s="79">
        <f>J98*'Assessment Inputs'!$B$14</f>
        <v/>
      </c>
      <c r="M98" s="79">
        <f>G98*'Assessment Inputs'!$B$14</f>
        <v/>
      </c>
      <c r="N98" s="79">
        <f>L98-M98</f>
        <v/>
      </c>
      <c r="O98" s="79">
        <f>K98*('Assessment Inputs'!$B$3-'Assessment Inputs'!$B$4)/'Assessment Inputs'!$B$3</f>
        <v/>
      </c>
      <c r="P98" s="79">
        <f>N98*'Assessment Inputs'!$B$12</f>
        <v/>
      </c>
      <c r="Q98" s="79">
        <f>L98*'Assessment Inputs'!$B$12</f>
        <v/>
      </c>
      <c r="R98" s="51" t="inlineStr">
        <is>
          <t>high</t>
        </is>
      </c>
      <c r="S98" s="51" t="inlineStr">
        <is>
          <t>5652 E Baseline Rd, Mesa, AZ 85206</t>
        </is>
      </c>
    </row>
    <row r="99" ht="15" customHeight="1" s="44">
      <c r="A99" s="51" t="inlineStr">
        <is>
          <t>Parker Indian Health Center</t>
        </is>
      </c>
      <c r="B99" s="51" t="inlineStr">
        <is>
          <t>IHS</t>
        </is>
      </c>
      <c r="C99" s="51" t="inlineStr">
        <is>
          <t>Parker</t>
        </is>
      </c>
      <c r="D99" s="51" t="inlineStr">
        <is>
          <t>La Paz</t>
        </is>
      </c>
      <c r="E99" s="48" t="n">
        <v>30</v>
      </c>
      <c r="F99" s="51" t="inlineStr">
        <is>
          <t>Yes</t>
        </is>
      </c>
      <c r="G99" s="76" t="n">
        <v>0</v>
      </c>
      <c r="H99" s="76" t="n">
        <v>2428650.59</v>
      </c>
      <c r="I99" s="76" t="n">
        <v>0</v>
      </c>
      <c r="J99" s="79">
        <f>H99+I99</f>
        <v/>
      </c>
      <c r="K99" s="79">
        <f>J99-G99</f>
        <v/>
      </c>
      <c r="L99" s="79">
        <f>J99*'Assessment Inputs'!$B$14</f>
        <v/>
      </c>
      <c r="M99" s="79">
        <f>G99*'Assessment Inputs'!$B$14</f>
        <v/>
      </c>
      <c r="N99" s="79">
        <f>L99-M99</f>
        <v/>
      </c>
      <c r="O99" s="79">
        <f>K99*('Assessment Inputs'!$B$3-'Assessment Inputs'!$B$4)/'Assessment Inputs'!$B$3</f>
        <v/>
      </c>
      <c r="P99" s="79">
        <f>N99*'Assessment Inputs'!$B$12</f>
        <v/>
      </c>
      <c r="Q99" s="79">
        <f>L99*'Assessment Inputs'!$B$12</f>
        <v/>
      </c>
      <c r="R99" s="51" t="inlineStr">
        <is>
          <t>medium</t>
        </is>
      </c>
      <c r="S99" s="51" t="inlineStr">
        <is>
          <t>12033 Agency Rd, Parker, AZ 85344</t>
        </is>
      </c>
    </row>
    <row r="100" ht="15" customHeight="1" s="44">
      <c r="A100" s="51" t="inlineStr">
        <is>
          <t>Encompass Health Valley of the Sun Rehabilitation Hospital</t>
        </is>
      </c>
      <c r="B100" s="51" t="inlineStr">
        <is>
          <t>Encompass Health</t>
        </is>
      </c>
      <c r="C100" s="51" t="inlineStr">
        <is>
          <t>Glendale</t>
        </is>
      </c>
      <c r="D100" s="51" t="inlineStr">
        <is>
          <t>Maricopa</t>
        </is>
      </c>
      <c r="E100" s="48" t="n">
        <v>27</v>
      </c>
      <c r="F100" s="51" t="n"/>
      <c r="G100" s="76" t="n">
        <v>0</v>
      </c>
      <c r="H100" s="76" t="n">
        <v>1427578.87</v>
      </c>
      <c r="I100" s="76" t="n">
        <v>843458</v>
      </c>
      <c r="J100" s="79">
        <f>H100+I100</f>
        <v/>
      </c>
      <c r="K100" s="79">
        <f>J100-G100</f>
        <v/>
      </c>
      <c r="L100" s="79">
        <f>J100*'Assessment Inputs'!$B$14</f>
        <v/>
      </c>
      <c r="M100" s="79">
        <f>G100*'Assessment Inputs'!$B$14</f>
        <v/>
      </c>
      <c r="N100" s="79">
        <f>L100-M100</f>
        <v/>
      </c>
      <c r="O100" s="79">
        <f>K100*('Assessment Inputs'!$B$3-'Assessment Inputs'!$B$4)/'Assessment Inputs'!$B$3</f>
        <v/>
      </c>
      <c r="P100" s="79">
        <f>N100*'Assessment Inputs'!$B$12</f>
        <v/>
      </c>
      <c r="Q100" s="79">
        <f>L100*'Assessment Inputs'!$B$12</f>
        <v/>
      </c>
      <c r="R100" s="51" t="inlineStr">
        <is>
          <t>high</t>
        </is>
      </c>
      <c r="S100" s="51" t="inlineStr">
        <is>
          <t>13460 N 67th Ave, Glendale, AZ 85304</t>
        </is>
      </c>
    </row>
    <row r="101" ht="15" customHeight="1" s="44">
      <c r="A101" s="51" t="inlineStr">
        <is>
          <t>Reunion Rehabilitation Hospital Phoenix</t>
        </is>
      </c>
      <c r="B101" s="51" t="inlineStr">
        <is>
          <t>Reunion Rehabilitation Hospitals</t>
        </is>
      </c>
      <c r="C101" s="51" t="inlineStr">
        <is>
          <t>Phoenix</t>
        </is>
      </c>
      <c r="D101" s="51" t="inlineStr">
        <is>
          <t>Maricopa</t>
        </is>
      </c>
      <c r="E101" s="48" t="n">
        <v>5</v>
      </c>
      <c r="F101" s="51" t="n"/>
      <c r="G101" s="76" t="n">
        <v>0</v>
      </c>
      <c r="H101" s="76" t="n">
        <v>1291683.52</v>
      </c>
      <c r="I101" s="76" t="n">
        <v>935718</v>
      </c>
      <c r="J101" s="79">
        <f>H101+I101</f>
        <v/>
      </c>
      <c r="K101" s="79">
        <f>J101-G101</f>
        <v/>
      </c>
      <c r="L101" s="79">
        <f>J101*'Assessment Inputs'!$B$14</f>
        <v/>
      </c>
      <c r="M101" s="79">
        <f>G101*'Assessment Inputs'!$B$14</f>
        <v/>
      </c>
      <c r="N101" s="79">
        <f>L101-M101</f>
        <v/>
      </c>
      <c r="O101" s="79">
        <f>K101*('Assessment Inputs'!$B$3-'Assessment Inputs'!$B$4)/'Assessment Inputs'!$B$3</f>
        <v/>
      </c>
      <c r="P101" s="79">
        <f>N101*'Assessment Inputs'!$B$12</f>
        <v/>
      </c>
      <c r="Q101" s="79">
        <f>L101*'Assessment Inputs'!$B$12</f>
        <v/>
      </c>
      <c r="R101" s="51" t="inlineStr">
        <is>
          <t>high</t>
        </is>
      </c>
      <c r="S101" s="51" t="inlineStr">
        <is>
          <t>1675 E Villa St, Phoenix, AZ 85006</t>
        </is>
      </c>
    </row>
    <row r="102" ht="15" customHeight="1" s="44">
      <c r="A102" s="51" t="inlineStr">
        <is>
          <t>Agave Ridge Behavioral Health Hospital</t>
        </is>
      </c>
      <c r="B102" s="51" t="inlineStr">
        <is>
          <t>Acadia Healthcare</t>
        </is>
      </c>
      <c r="C102" s="51" t="inlineStr">
        <is>
          <t>Mesa</t>
        </is>
      </c>
      <c r="D102" s="51" t="inlineStr">
        <is>
          <t>Maricopa</t>
        </is>
      </c>
      <c r="E102" s="48" t="n">
        <v>15</v>
      </c>
      <c r="F102" s="51" t="n"/>
      <c r="G102" s="76" t="n">
        <v>0</v>
      </c>
      <c r="H102" s="76" t="n">
        <v>2014135.65</v>
      </c>
      <c r="I102" s="76" t="n">
        <v>0</v>
      </c>
      <c r="J102" s="79">
        <f>H102+I102</f>
        <v/>
      </c>
      <c r="K102" s="79">
        <f>J102-G102</f>
        <v/>
      </c>
      <c r="L102" s="79">
        <f>J102*'Assessment Inputs'!$B$14</f>
        <v/>
      </c>
      <c r="M102" s="79">
        <f>G102*'Assessment Inputs'!$B$14</f>
        <v/>
      </c>
      <c r="N102" s="79">
        <f>L102-M102</f>
        <v/>
      </c>
      <c r="O102" s="79">
        <f>K102*('Assessment Inputs'!$B$3-'Assessment Inputs'!$B$4)/'Assessment Inputs'!$B$3</f>
        <v/>
      </c>
      <c r="P102" s="79">
        <f>N102*'Assessment Inputs'!$B$12</f>
        <v/>
      </c>
      <c r="Q102" s="79">
        <f>L102*'Assessment Inputs'!$B$12</f>
        <v/>
      </c>
      <c r="R102" s="51" t="inlineStr">
        <is>
          <t>medium</t>
        </is>
      </c>
      <c r="S102" s="51" t="inlineStr">
        <is>
          <t>3322 S Ellsworth Rd, Mesa, AZ 85212</t>
        </is>
      </c>
    </row>
    <row r="103" ht="15" customHeight="1" s="44">
      <c r="A103" s="51" t="inlineStr">
        <is>
          <t>Select Specialty Hospital – Phoenix (St. Joseph's campus)</t>
        </is>
      </c>
      <c r="B103" s="51" t="inlineStr">
        <is>
          <t>Select Medical</t>
        </is>
      </c>
      <c r="C103" s="51" t="inlineStr">
        <is>
          <t>Phoenix</t>
        </is>
      </c>
      <c r="D103" s="51" t="inlineStr">
        <is>
          <t>Maricopa</t>
        </is>
      </c>
      <c r="E103" s="48" t="n">
        <v>5</v>
      </c>
      <c r="F103" s="51" t="n"/>
      <c r="G103" s="76" t="n">
        <v>175394.13</v>
      </c>
      <c r="H103" s="76" t="n">
        <v>774184.58</v>
      </c>
      <c r="I103" s="76" t="n">
        <v>1156516</v>
      </c>
      <c r="J103" s="79">
        <f>H103+I103</f>
        <v/>
      </c>
      <c r="K103" s="79">
        <f>J103-G103</f>
        <v/>
      </c>
      <c r="L103" s="79">
        <f>J103*'Assessment Inputs'!$B$14</f>
        <v/>
      </c>
      <c r="M103" s="79">
        <f>G103*'Assessment Inputs'!$B$14</f>
        <v/>
      </c>
      <c r="N103" s="79">
        <f>L103-M103</f>
        <v/>
      </c>
      <c r="O103" s="79">
        <f>K103*('Assessment Inputs'!$B$3-'Assessment Inputs'!$B$4)/'Assessment Inputs'!$B$3</f>
        <v/>
      </c>
      <c r="P103" s="79">
        <f>N103*'Assessment Inputs'!$B$12</f>
        <v/>
      </c>
      <c r="Q103" s="79">
        <f>L103*'Assessment Inputs'!$B$12</f>
        <v/>
      </c>
      <c r="R103" s="51" t="inlineStr">
        <is>
          <t>high</t>
        </is>
      </c>
      <c r="S103" s="51" t="inlineStr">
        <is>
          <t>350 W Thomas Rd, Phoenix, AZ 85013</t>
        </is>
      </c>
    </row>
    <row r="104" ht="15" customHeight="1" s="44">
      <c r="A104" s="51" t="inlineStr">
        <is>
          <t>Arizona Specialty Hospital (Phoenix campus; formerly OASIS Hospital)</t>
        </is>
      </c>
      <c r="B104" s="51" t="inlineStr">
        <is>
          <t>United Surgical Partners</t>
        </is>
      </c>
      <c r="C104" s="51" t="inlineStr">
        <is>
          <t>Phoenix</t>
        </is>
      </c>
      <c r="D104" s="51" t="inlineStr">
        <is>
          <t>Maricopa</t>
        </is>
      </c>
      <c r="E104" s="48" t="n">
        <v>8</v>
      </c>
      <c r="F104" s="51" t="n"/>
      <c r="G104" s="76" t="n">
        <v>0</v>
      </c>
      <c r="H104" s="76" t="n">
        <v>1512869.54</v>
      </c>
      <c r="I104" s="76" t="n">
        <v>391421</v>
      </c>
      <c r="J104" s="79">
        <f>H104+I104</f>
        <v/>
      </c>
      <c r="K104" s="79">
        <f>J104-G104</f>
        <v/>
      </c>
      <c r="L104" s="79">
        <f>J104*'Assessment Inputs'!$B$14</f>
        <v/>
      </c>
      <c r="M104" s="79">
        <f>G104*'Assessment Inputs'!$B$14</f>
        <v/>
      </c>
      <c r="N104" s="79">
        <f>L104-M104</f>
        <v/>
      </c>
      <c r="O104" s="79">
        <f>K104*('Assessment Inputs'!$B$3-'Assessment Inputs'!$B$4)/'Assessment Inputs'!$B$3</f>
        <v/>
      </c>
      <c r="P104" s="79">
        <f>N104*'Assessment Inputs'!$B$12</f>
        <v/>
      </c>
      <c r="Q104" s="79">
        <f>L104*'Assessment Inputs'!$B$12</f>
        <v/>
      </c>
      <c r="R104" s="51" t="inlineStr">
        <is>
          <t>high</t>
        </is>
      </c>
      <c r="S104" s="51" t="inlineStr">
        <is>
          <t>750 N 40th St, Phoenix, AZ 85008</t>
        </is>
      </c>
    </row>
    <row r="105" ht="15" customHeight="1" s="44">
      <c r="A105" s="51" t="inlineStr">
        <is>
          <t>Encompass Health Rehabilitation Institute of Tucson</t>
        </is>
      </c>
      <c r="B105" s="51" t="inlineStr">
        <is>
          <t>Encompass Health</t>
        </is>
      </c>
      <c r="C105" s="51" t="inlineStr">
        <is>
          <t>Tucson</t>
        </is>
      </c>
      <c r="D105" s="51" t="inlineStr">
        <is>
          <t>Pima</t>
        </is>
      </c>
      <c r="E105" s="48" t="n">
        <v>18</v>
      </c>
      <c r="F105" s="51" t="n"/>
      <c r="G105" s="76" t="n">
        <v>0</v>
      </c>
      <c r="H105" s="76" t="n">
        <v>1100357.79</v>
      </c>
      <c r="I105" s="76" t="n">
        <v>745978</v>
      </c>
      <c r="J105" s="79">
        <f>H105+I105</f>
        <v/>
      </c>
      <c r="K105" s="79">
        <f>J105-G105</f>
        <v/>
      </c>
      <c r="L105" s="79">
        <f>J105*'Assessment Inputs'!$B$14</f>
        <v/>
      </c>
      <c r="M105" s="79">
        <f>G105*'Assessment Inputs'!$B$14</f>
        <v/>
      </c>
      <c r="N105" s="79">
        <f>L105-M105</f>
        <v/>
      </c>
      <c r="O105" s="79">
        <f>K105*('Assessment Inputs'!$B$3-'Assessment Inputs'!$B$4)/'Assessment Inputs'!$B$3</f>
        <v/>
      </c>
      <c r="P105" s="79">
        <f>N105*'Assessment Inputs'!$B$12</f>
        <v/>
      </c>
      <c r="Q105" s="79">
        <f>L105*'Assessment Inputs'!$B$12</f>
        <v/>
      </c>
      <c r="R105" s="51" t="inlineStr">
        <is>
          <t>high</t>
        </is>
      </c>
      <c r="S105" s="51" t="inlineStr">
        <is>
          <t>2650 N Wyatt Dr, Tucson, AZ 85712</t>
        </is>
      </c>
    </row>
    <row r="106" ht="15" customHeight="1" s="44">
      <c r="A106" s="51" t="inlineStr">
        <is>
          <t>ChangePoint Psychiatric Hospital</t>
        </is>
      </c>
      <c r="B106" s="51" t="inlineStr">
        <is>
          <t>Changepoint Integrated Health Centers</t>
        </is>
      </c>
      <c r="C106" s="51" t="inlineStr">
        <is>
          <t>Lakeside</t>
        </is>
      </c>
      <c r="D106" s="51" t="inlineStr">
        <is>
          <t>Navajo</t>
        </is>
      </c>
      <c r="E106" s="48" t="n">
        <v>7</v>
      </c>
      <c r="F106" s="51" t="n"/>
      <c r="G106" s="76" t="n">
        <v>0</v>
      </c>
      <c r="H106" s="76" t="n">
        <v>1349622.49</v>
      </c>
      <c r="I106" s="76" t="n">
        <v>476078</v>
      </c>
      <c r="J106" s="79">
        <f>H106+I106</f>
        <v/>
      </c>
      <c r="K106" s="79">
        <f>J106-G106</f>
        <v/>
      </c>
      <c r="L106" s="79">
        <f>J106*'Assessment Inputs'!$B$14</f>
        <v/>
      </c>
      <c r="M106" s="79">
        <f>G106*'Assessment Inputs'!$B$14</f>
        <v/>
      </c>
      <c r="N106" s="79">
        <f>L106-M106</f>
        <v/>
      </c>
      <c r="O106" s="79">
        <f>K106*('Assessment Inputs'!$B$3-'Assessment Inputs'!$B$4)/'Assessment Inputs'!$B$3</f>
        <v/>
      </c>
      <c r="P106" s="79">
        <f>N106*'Assessment Inputs'!$B$12</f>
        <v/>
      </c>
      <c r="Q106" s="79">
        <f>L106*'Assessment Inputs'!$B$12</f>
        <v/>
      </c>
      <c r="R106" s="51" t="inlineStr">
        <is>
          <t>high</t>
        </is>
      </c>
      <c r="S106" s="51" t="inlineStr">
        <is>
          <t>1920 W Commerce Dr, Lakeside, AZ 85929</t>
        </is>
      </c>
    </row>
    <row r="107" ht="15" customHeight="1" s="44">
      <c r="A107" s="51" t="inlineStr">
        <is>
          <t>Rehabilitation Hospital of Northern Arizona</t>
        </is>
      </c>
      <c r="B107" s="51" t="inlineStr">
        <is>
          <t>Ernest Health, Inc.</t>
        </is>
      </c>
      <c r="C107" s="51" t="inlineStr">
        <is>
          <t>Flagstaff</t>
        </is>
      </c>
      <c r="D107" s="51" t="inlineStr">
        <is>
          <t>Coconino</t>
        </is>
      </c>
      <c r="E107" s="48" t="n">
        <v>6</v>
      </c>
      <c r="F107" s="51" t="n"/>
      <c r="G107" s="76" t="n">
        <v>0</v>
      </c>
      <c r="H107" s="76" t="n">
        <v>1519078.65</v>
      </c>
      <c r="I107" s="76" t="n">
        <v>255697</v>
      </c>
      <c r="J107" s="79">
        <f>H107+I107</f>
        <v/>
      </c>
      <c r="K107" s="79">
        <f>J107-G107</f>
        <v/>
      </c>
      <c r="L107" s="79">
        <f>J107*'Assessment Inputs'!$B$14</f>
        <v/>
      </c>
      <c r="M107" s="79">
        <f>G107*'Assessment Inputs'!$B$14</f>
        <v/>
      </c>
      <c r="N107" s="79">
        <f>L107-M107</f>
        <v/>
      </c>
      <c r="O107" s="79">
        <f>K107*('Assessment Inputs'!$B$3-'Assessment Inputs'!$B$4)/'Assessment Inputs'!$B$3</f>
        <v/>
      </c>
      <c r="P107" s="79">
        <f>N107*'Assessment Inputs'!$B$12</f>
        <v/>
      </c>
      <c r="Q107" s="79">
        <f>L107*'Assessment Inputs'!$B$12</f>
        <v/>
      </c>
      <c r="R107" s="51" t="inlineStr">
        <is>
          <t>high</t>
        </is>
      </c>
      <c r="S107" s="51" t="inlineStr">
        <is>
          <t>1851 N Gemini Dr, Flagstaff, AZ 86001</t>
        </is>
      </c>
    </row>
    <row r="108" ht="15" customHeight="1" s="44">
      <c r="A108" s="51" t="inlineStr">
        <is>
          <t>Select Specialty Hospital – Phoenix Downtown (Banner UMC Phoenix campus)</t>
        </is>
      </c>
      <c r="B108" s="51" t="inlineStr">
        <is>
          <t>Select Medical</t>
        </is>
      </c>
      <c r="C108" s="51" t="inlineStr">
        <is>
          <t>Phoenix</t>
        </is>
      </c>
      <c r="D108" s="51" t="inlineStr">
        <is>
          <t>Maricopa</t>
        </is>
      </c>
      <c r="E108" s="48" t="n">
        <v>5</v>
      </c>
      <c r="F108" s="51" t="n"/>
      <c r="G108" s="76" t="n">
        <v>144934.71</v>
      </c>
      <c r="H108" s="76" t="n">
        <v>1136946.48</v>
      </c>
      <c r="I108" s="76" t="n">
        <v>466100</v>
      </c>
      <c r="J108" s="79">
        <f>H108+I108</f>
        <v/>
      </c>
      <c r="K108" s="79">
        <f>J108-G108</f>
        <v/>
      </c>
      <c r="L108" s="79">
        <f>J108*'Assessment Inputs'!$B$14</f>
        <v/>
      </c>
      <c r="M108" s="79">
        <f>G108*'Assessment Inputs'!$B$14</f>
        <v/>
      </c>
      <c r="N108" s="79">
        <f>L108-M108</f>
        <v/>
      </c>
      <c r="O108" s="79">
        <f>K108*('Assessment Inputs'!$B$3-'Assessment Inputs'!$B$4)/'Assessment Inputs'!$B$3</f>
        <v/>
      </c>
      <c r="P108" s="79">
        <f>N108*'Assessment Inputs'!$B$12</f>
        <v/>
      </c>
      <c r="Q108" s="79">
        <f>L108*'Assessment Inputs'!$B$12</f>
        <v/>
      </c>
      <c r="R108" s="51" t="inlineStr">
        <is>
          <t>high</t>
        </is>
      </c>
      <c r="S108" s="51" t="inlineStr">
        <is>
          <t>1111 E McDowell Rd, Phoenix, AZ 85006</t>
        </is>
      </c>
    </row>
    <row r="109" ht="15" customHeight="1" s="44">
      <c r="A109" s="51" t="inlineStr">
        <is>
          <t>HonorHealth Rehabilitation Hospital</t>
        </is>
      </c>
      <c r="B109" s="51" t="inlineStr">
        <is>
          <t>Select Medical</t>
        </is>
      </c>
      <c r="C109" s="51" t="inlineStr">
        <is>
          <t>Scottsdale</t>
        </is>
      </c>
      <c r="D109" s="51" t="inlineStr">
        <is>
          <t>Maricopa</t>
        </is>
      </c>
      <c r="E109" s="48" t="n">
        <v>8</v>
      </c>
      <c r="F109" s="51" t="n"/>
      <c r="G109" s="76" t="n">
        <v>0</v>
      </c>
      <c r="H109" s="76" t="n">
        <v>1023229.06</v>
      </c>
      <c r="I109" s="76" t="n">
        <v>463351</v>
      </c>
      <c r="J109" s="79">
        <f>H109+I109</f>
        <v/>
      </c>
      <c r="K109" s="79">
        <f>J109-G109</f>
        <v/>
      </c>
      <c r="L109" s="79">
        <f>J109*'Assessment Inputs'!$B$14</f>
        <v/>
      </c>
      <c r="M109" s="79">
        <f>G109*'Assessment Inputs'!$B$14</f>
        <v/>
      </c>
      <c r="N109" s="79">
        <f>L109-M109</f>
        <v/>
      </c>
      <c r="O109" s="79">
        <f>K109*('Assessment Inputs'!$B$3-'Assessment Inputs'!$B$4)/'Assessment Inputs'!$B$3</f>
        <v/>
      </c>
      <c r="P109" s="79">
        <f>N109*'Assessment Inputs'!$B$12</f>
        <v/>
      </c>
      <c r="Q109" s="79">
        <f>L109*'Assessment Inputs'!$B$12</f>
        <v/>
      </c>
      <c r="R109" s="51" t="inlineStr">
        <is>
          <t>high</t>
        </is>
      </c>
      <c r="S109" s="51" t="inlineStr">
        <is>
          <t>8850 E Pima Center Pkwy, Scottsdale, AZ 85258</t>
        </is>
      </c>
    </row>
    <row r="110" ht="15" customHeight="1" s="44">
      <c r="A110" s="51" t="inlineStr">
        <is>
          <t>Exceptional Community Hospital – Maricopa</t>
        </is>
      </c>
      <c r="B110" s="51" t="inlineStr">
        <is>
          <t>Exceptional Healthcare</t>
        </is>
      </c>
      <c r="C110" s="51" t="inlineStr">
        <is>
          <t>Maricopa</t>
        </is>
      </c>
      <c r="D110" s="51" t="inlineStr">
        <is>
          <t>Pinal</t>
        </is>
      </c>
      <c r="E110" s="48" t="n">
        <v>16</v>
      </c>
      <c r="F110" s="51" t="n"/>
      <c r="G110" s="76" t="n">
        <v>0</v>
      </c>
      <c r="H110" s="76" t="n">
        <v>1297751.78</v>
      </c>
      <c r="I110" s="76" t="n">
        <v>116646</v>
      </c>
      <c r="J110" s="79">
        <f>H110+I110</f>
        <v/>
      </c>
      <c r="K110" s="79">
        <f>J110-G110</f>
        <v/>
      </c>
      <c r="L110" s="79">
        <f>J110*'Assessment Inputs'!$B$14</f>
        <v/>
      </c>
      <c r="M110" s="79">
        <f>G110*'Assessment Inputs'!$B$14</f>
        <v/>
      </c>
      <c r="N110" s="79">
        <f>L110-M110</f>
        <v/>
      </c>
      <c r="O110" s="79">
        <f>K110*('Assessment Inputs'!$B$3-'Assessment Inputs'!$B$4)/'Assessment Inputs'!$B$3</f>
        <v/>
      </c>
      <c r="P110" s="79">
        <f>N110*'Assessment Inputs'!$B$12</f>
        <v/>
      </c>
      <c r="Q110" s="79">
        <f>L110*'Assessment Inputs'!$B$12</f>
        <v/>
      </c>
      <c r="R110" s="51" t="inlineStr">
        <is>
          <t>medium</t>
        </is>
      </c>
      <c r="S110" s="51" t="inlineStr">
        <is>
          <t>19060 N John Wayne Pkwy, Maricopa, AZ 85139</t>
        </is>
      </c>
    </row>
    <row r="111" ht="15" customHeight="1" s="44">
      <c r="A111" s="51" t="inlineStr">
        <is>
          <t>Select Specialty Hospital – Tucson (Northwest)</t>
        </is>
      </c>
      <c r="B111" s="51" t="inlineStr">
        <is>
          <t>Select Medical</t>
        </is>
      </c>
      <c r="C111" s="51" t="inlineStr">
        <is>
          <t>Tucson</t>
        </is>
      </c>
      <c r="D111" s="51" t="inlineStr">
        <is>
          <t>Pima</t>
        </is>
      </c>
      <c r="E111" s="48" t="n">
        <v>18</v>
      </c>
      <c r="F111" s="51" t="n"/>
      <c r="G111" s="76" t="n">
        <v>157582.09</v>
      </c>
      <c r="H111" s="76" t="n">
        <v>971530.1</v>
      </c>
      <c r="I111" s="76" t="n">
        <v>299209</v>
      </c>
      <c r="J111" s="79">
        <f>H111+I111</f>
        <v/>
      </c>
      <c r="K111" s="79">
        <f>J111-G111</f>
        <v/>
      </c>
      <c r="L111" s="79">
        <f>J111*'Assessment Inputs'!$B$14</f>
        <v/>
      </c>
      <c r="M111" s="79">
        <f>G111*'Assessment Inputs'!$B$14</f>
        <v/>
      </c>
      <c r="N111" s="79">
        <f>L111-M111</f>
        <v/>
      </c>
      <c r="O111" s="79">
        <f>K111*('Assessment Inputs'!$B$3-'Assessment Inputs'!$B$4)/'Assessment Inputs'!$B$3</f>
        <v/>
      </c>
      <c r="P111" s="79">
        <f>N111*'Assessment Inputs'!$B$12</f>
        <v/>
      </c>
      <c r="Q111" s="79">
        <f>L111*'Assessment Inputs'!$B$12</f>
        <v/>
      </c>
      <c r="R111" s="51" t="inlineStr">
        <is>
          <t>high</t>
        </is>
      </c>
      <c r="S111" s="51" t="inlineStr">
        <is>
          <t>2025 W Orange Grove Rd, Tucson, AZ 85704</t>
        </is>
      </c>
    </row>
    <row r="112" ht="15" customHeight="1" s="44">
      <c r="A112" s="51" t="inlineStr">
        <is>
          <t>Exceptional Community Hospital – Yuma (Yuma Community Hospital)</t>
        </is>
      </c>
      <c r="B112" s="51" t="inlineStr">
        <is>
          <t>Exceptional Healthcare</t>
        </is>
      </c>
      <c r="C112" s="51" t="inlineStr">
        <is>
          <t>Yuma</t>
        </is>
      </c>
      <c r="D112" s="51" t="inlineStr">
        <is>
          <t>Yuma</t>
        </is>
      </c>
      <c r="E112" s="48" t="n">
        <v>25</v>
      </c>
      <c r="F112" s="51" t="n"/>
      <c r="G112" s="76" t="n">
        <v>0</v>
      </c>
      <c r="H112" s="76" t="n">
        <v>1215458.39</v>
      </c>
      <c r="I112" s="76" t="n">
        <v>596</v>
      </c>
      <c r="J112" s="79">
        <f>H112+I112</f>
        <v/>
      </c>
      <c r="K112" s="79">
        <f>J112-G112</f>
        <v/>
      </c>
      <c r="L112" s="79">
        <f>J112*'Assessment Inputs'!$B$14</f>
        <v/>
      </c>
      <c r="M112" s="79">
        <f>G112*'Assessment Inputs'!$B$14</f>
        <v/>
      </c>
      <c r="N112" s="79">
        <f>L112-M112</f>
        <v/>
      </c>
      <c r="O112" s="79">
        <f>K112*('Assessment Inputs'!$B$3-'Assessment Inputs'!$B$4)/'Assessment Inputs'!$B$3</f>
        <v/>
      </c>
      <c r="P112" s="79">
        <f>N112*'Assessment Inputs'!$B$12</f>
        <v/>
      </c>
      <c r="Q112" s="79">
        <f>L112*'Assessment Inputs'!$B$12</f>
        <v/>
      </c>
      <c r="R112" s="51" t="inlineStr">
        <is>
          <t>high</t>
        </is>
      </c>
      <c r="S112" s="51" t="inlineStr">
        <is>
          <t>2648 S Araby Rd, Yuma, AZ 85365</t>
        </is>
      </c>
    </row>
    <row r="113" ht="15" customHeight="1" s="44">
      <c r="A113" s="51" t="inlineStr">
        <is>
          <t>The Guidance Center</t>
        </is>
      </c>
      <c r="B113" s="51" t="inlineStr">
        <is>
          <t>The Guidance Center, Inc.</t>
        </is>
      </c>
      <c r="C113" s="51" t="inlineStr">
        <is>
          <t>Flagstaff</t>
        </is>
      </c>
      <c r="D113" s="51" t="inlineStr">
        <is>
          <t>Coconino</t>
        </is>
      </c>
      <c r="E113" s="48" t="n">
        <v>6</v>
      </c>
      <c r="F113" s="51" t="n"/>
      <c r="G113" s="76" t="n">
        <v>0</v>
      </c>
      <c r="H113" s="76" t="n">
        <v>802504.77</v>
      </c>
      <c r="I113" s="76" t="n">
        <v>398258</v>
      </c>
      <c r="J113" s="79">
        <f>H113+I113</f>
        <v/>
      </c>
      <c r="K113" s="79">
        <f>J113-G113</f>
        <v/>
      </c>
      <c r="L113" s="79">
        <f>J113*'Assessment Inputs'!$B$14</f>
        <v/>
      </c>
      <c r="M113" s="79">
        <f>G113*'Assessment Inputs'!$B$14</f>
        <v/>
      </c>
      <c r="N113" s="79">
        <f>L113-M113</f>
        <v/>
      </c>
      <c r="O113" s="79">
        <f>K113*('Assessment Inputs'!$B$3-'Assessment Inputs'!$B$4)/'Assessment Inputs'!$B$3</f>
        <v/>
      </c>
      <c r="P113" s="79">
        <f>N113*'Assessment Inputs'!$B$12</f>
        <v/>
      </c>
      <c r="Q113" s="79">
        <f>L113*'Assessment Inputs'!$B$12</f>
        <v/>
      </c>
      <c r="R113" s="51" t="inlineStr">
        <is>
          <t>high</t>
        </is>
      </c>
      <c r="S113" s="51" t="inlineStr">
        <is>
          <t>2187 N Vickey St, Flagstaff, AZ 86004</t>
        </is>
      </c>
    </row>
    <row r="114" ht="15" customHeight="1" s="44">
      <c r="A114" s="51" t="inlineStr">
        <is>
          <t>Encompass Health Rehabilitation Hospital of Northwest Tucson</t>
        </is>
      </c>
      <c r="B114" s="51" t="inlineStr">
        <is>
          <t>Encompass Health</t>
        </is>
      </c>
      <c r="C114" s="51" t="inlineStr">
        <is>
          <t>Tucson</t>
        </is>
      </c>
      <c r="D114" s="51" t="inlineStr">
        <is>
          <t>Pima</t>
        </is>
      </c>
      <c r="E114" s="48" t="n">
        <v>18</v>
      </c>
      <c r="F114" s="51" t="n"/>
      <c r="G114" s="76" t="n">
        <v>0</v>
      </c>
      <c r="H114" s="76" t="n">
        <v>731749.46</v>
      </c>
      <c r="I114" s="76" t="n">
        <v>453621</v>
      </c>
      <c r="J114" s="79">
        <f>H114+I114</f>
        <v/>
      </c>
      <c r="K114" s="79">
        <f>J114-G114</f>
        <v/>
      </c>
      <c r="L114" s="79">
        <f>J114*'Assessment Inputs'!$B$14</f>
        <v/>
      </c>
      <c r="M114" s="79">
        <f>G114*'Assessment Inputs'!$B$14</f>
        <v/>
      </c>
      <c r="N114" s="79">
        <f>L114-M114</f>
        <v/>
      </c>
      <c r="O114" s="79">
        <f>K114*('Assessment Inputs'!$B$3-'Assessment Inputs'!$B$4)/'Assessment Inputs'!$B$3</f>
        <v/>
      </c>
      <c r="P114" s="79">
        <f>N114*'Assessment Inputs'!$B$12</f>
        <v/>
      </c>
      <c r="Q114" s="79">
        <f>L114*'Assessment Inputs'!$B$12</f>
        <v/>
      </c>
      <c r="R114" s="51" t="inlineStr">
        <is>
          <t>high</t>
        </is>
      </c>
      <c r="S114" s="51" t="inlineStr">
        <is>
          <t>1921 W Hospital Dr, Tucson, AZ 85704</t>
        </is>
      </c>
    </row>
    <row r="115" ht="15" customHeight="1" s="44">
      <c r="A115" s="51" t="inlineStr">
        <is>
          <t>Cornerstone Specialty Hospitals Tucson</t>
        </is>
      </c>
      <c r="B115" s="51" t="inlineStr">
        <is>
          <t>Cornerstone Healthcare Group</t>
        </is>
      </c>
      <c r="C115" s="51" t="inlineStr">
        <is>
          <t>Tucson</t>
        </is>
      </c>
      <c r="D115" s="51" t="inlineStr">
        <is>
          <t>Pima</t>
        </is>
      </c>
      <c r="E115" s="48" t="n">
        <v>18</v>
      </c>
      <c r="F115" s="51" t="n"/>
      <c r="G115" s="76" t="n">
        <v>188132</v>
      </c>
      <c r="H115" s="76" t="n">
        <v>787180.63</v>
      </c>
      <c r="I115" s="76" t="n">
        <v>336340</v>
      </c>
      <c r="J115" s="79">
        <f>H115+I115</f>
        <v/>
      </c>
      <c r="K115" s="79">
        <f>J115-G115</f>
        <v/>
      </c>
      <c r="L115" s="79">
        <f>J115*'Assessment Inputs'!$B$14</f>
        <v/>
      </c>
      <c r="M115" s="79">
        <f>G115*'Assessment Inputs'!$B$14</f>
        <v/>
      </c>
      <c r="N115" s="79">
        <f>L115-M115</f>
        <v/>
      </c>
      <c r="O115" s="79">
        <f>K115*('Assessment Inputs'!$B$3-'Assessment Inputs'!$B$4)/'Assessment Inputs'!$B$3</f>
        <v/>
      </c>
      <c r="P115" s="79">
        <f>N115*'Assessment Inputs'!$B$12</f>
        <v/>
      </c>
      <c r="Q115" s="79">
        <f>L115*'Assessment Inputs'!$B$12</f>
        <v/>
      </c>
      <c r="R115" s="51" t="inlineStr">
        <is>
          <t>high</t>
        </is>
      </c>
      <c r="S115" s="51" t="inlineStr">
        <is>
          <t>7220 E Rosewood St, Tucson, AZ 85710</t>
        </is>
      </c>
    </row>
    <row r="116" ht="15" customHeight="1" s="44">
      <c r="A116" s="51" t="inlineStr">
        <is>
          <t>Encompass Health Rehabilitation Hospital of Scottsdale</t>
        </is>
      </c>
      <c r="B116" s="51" t="inlineStr">
        <is>
          <t>Encompass Health</t>
        </is>
      </c>
      <c r="C116" s="51" t="inlineStr">
        <is>
          <t>Scottsdale</t>
        </is>
      </c>
      <c r="D116" s="51" t="inlineStr">
        <is>
          <t>Maricopa</t>
        </is>
      </c>
      <c r="E116" s="48" t="n">
        <v>3</v>
      </c>
      <c r="F116" s="51" t="n"/>
      <c r="G116" s="76" t="n">
        <v>0</v>
      </c>
      <c r="H116" s="76" t="n">
        <v>703751.77</v>
      </c>
      <c r="I116" s="76" t="n">
        <v>367376</v>
      </c>
      <c r="J116" s="79">
        <f>H116+I116</f>
        <v/>
      </c>
      <c r="K116" s="79">
        <f>J116-G116</f>
        <v/>
      </c>
      <c r="L116" s="79">
        <f>J116*'Assessment Inputs'!$B$14</f>
        <v/>
      </c>
      <c r="M116" s="79">
        <f>G116*'Assessment Inputs'!$B$14</f>
        <v/>
      </c>
      <c r="N116" s="79">
        <f>L116-M116</f>
        <v/>
      </c>
      <c r="O116" s="79">
        <f>K116*('Assessment Inputs'!$B$3-'Assessment Inputs'!$B$4)/'Assessment Inputs'!$B$3</f>
        <v/>
      </c>
      <c r="P116" s="79">
        <f>N116*'Assessment Inputs'!$B$12</f>
        <v/>
      </c>
      <c r="Q116" s="79">
        <f>L116*'Assessment Inputs'!$B$12</f>
        <v/>
      </c>
      <c r="R116" s="51" t="inlineStr">
        <is>
          <t>high</t>
        </is>
      </c>
      <c r="S116" s="51" t="inlineStr">
        <is>
          <t>9630 E Shea Blvd, Scottsdale, AZ 85260</t>
        </is>
      </c>
    </row>
    <row r="117" ht="15" customHeight="1" s="44">
      <c r="A117" s="51" t="inlineStr">
        <is>
          <t>HonorHealth Florence Medical Center (formerly Florence Hospital)</t>
        </is>
      </c>
      <c r="B117" s="51" t="inlineStr">
        <is>
          <t>HonorHealth</t>
        </is>
      </c>
      <c r="C117" s="51" t="inlineStr">
        <is>
          <t>Florence</t>
        </is>
      </c>
      <c r="D117" s="51" t="inlineStr">
        <is>
          <t>Pinal</t>
        </is>
      </c>
      <c r="E117" s="48" t="n">
        <v>7</v>
      </c>
      <c r="F117" s="51" t="n"/>
      <c r="G117" s="76" t="n">
        <v>0</v>
      </c>
      <c r="H117" s="76" t="n">
        <v>945521.02</v>
      </c>
      <c r="I117" s="76" t="n">
        <v>0</v>
      </c>
      <c r="J117" s="79">
        <f>H117+I117</f>
        <v/>
      </c>
      <c r="K117" s="79">
        <f>J117-G117</f>
        <v/>
      </c>
      <c r="L117" s="79">
        <f>J117*'Assessment Inputs'!$B$14</f>
        <v/>
      </c>
      <c r="M117" s="79">
        <f>G117*'Assessment Inputs'!$B$14</f>
        <v/>
      </c>
      <c r="N117" s="79">
        <f>L117-M117</f>
        <v/>
      </c>
      <c r="O117" s="79">
        <f>K117*('Assessment Inputs'!$B$3-'Assessment Inputs'!$B$4)/'Assessment Inputs'!$B$3</f>
        <v/>
      </c>
      <c r="P117" s="79">
        <f>N117*'Assessment Inputs'!$B$12</f>
        <v/>
      </c>
      <c r="Q117" s="79">
        <f>L117*'Assessment Inputs'!$B$12</f>
        <v/>
      </c>
      <c r="R117" s="51" t="inlineStr">
        <is>
          <t>high</t>
        </is>
      </c>
      <c r="S117" s="51" t="inlineStr">
        <is>
          <t>4545 N Hunt Hwy, Florence, AZ 85132</t>
        </is>
      </c>
    </row>
    <row r="118" ht="15" customHeight="1" s="44">
      <c r="A118" s="51" t="inlineStr">
        <is>
          <t>Phoenix Specialty Hospital (formerly KPC Promise Hospital of Phoenix)</t>
        </is>
      </c>
      <c r="B118" s="51" t="inlineStr">
        <is>
          <t>American Advanced Management, Inc.</t>
        </is>
      </c>
      <c r="C118" s="51" t="inlineStr">
        <is>
          <t>Mesa</t>
        </is>
      </c>
      <c r="D118" s="51" t="inlineStr">
        <is>
          <t>Maricopa</t>
        </is>
      </c>
      <c r="E118" s="48" t="n">
        <v>9</v>
      </c>
      <c r="F118" s="51" t="n"/>
      <c r="G118" s="76" t="n">
        <v>134096.76</v>
      </c>
      <c r="H118" s="76" t="n">
        <v>387514.03</v>
      </c>
      <c r="I118" s="76" t="n">
        <v>547582</v>
      </c>
      <c r="J118" s="79">
        <f>H118+I118</f>
        <v/>
      </c>
      <c r="K118" s="79">
        <f>J118-G118</f>
        <v/>
      </c>
      <c r="L118" s="79">
        <f>J118*'Assessment Inputs'!$B$14</f>
        <v/>
      </c>
      <c r="M118" s="79">
        <f>G118*'Assessment Inputs'!$B$14</f>
        <v/>
      </c>
      <c r="N118" s="79">
        <f>L118-M118</f>
        <v/>
      </c>
      <c r="O118" s="79">
        <f>K118*('Assessment Inputs'!$B$3-'Assessment Inputs'!$B$4)/'Assessment Inputs'!$B$3</f>
        <v/>
      </c>
      <c r="P118" s="79">
        <f>N118*'Assessment Inputs'!$B$12</f>
        <v/>
      </c>
      <c r="Q118" s="79">
        <f>L118*'Assessment Inputs'!$B$12</f>
        <v/>
      </c>
      <c r="R118" s="51" t="inlineStr">
        <is>
          <t>high</t>
        </is>
      </c>
      <c r="S118" s="51" t="inlineStr">
        <is>
          <t>433 E 6th St, Mesa, AZ 85203</t>
        </is>
      </c>
    </row>
    <row r="119" ht="15" customHeight="1" s="44">
      <c r="A119" s="51" t="inlineStr">
        <is>
          <t>Mountain Valley Regional Rehabilitation Hospital</t>
        </is>
      </c>
      <c r="B119" s="51" t="inlineStr">
        <is>
          <t>Ernest Health, Inc.</t>
        </is>
      </c>
      <c r="C119" s="51" t="inlineStr">
        <is>
          <t>Prescott Valley</t>
        </is>
      </c>
      <c r="D119" s="51" t="inlineStr">
        <is>
          <t>Yavapai</t>
        </is>
      </c>
      <c r="E119" s="48" t="n">
        <v>1</v>
      </c>
      <c r="F119" s="51" t="n"/>
      <c r="G119" s="76" t="n">
        <v>0</v>
      </c>
      <c r="H119" s="76" t="n">
        <v>709814.38</v>
      </c>
      <c r="I119" s="76" t="n">
        <v>199695</v>
      </c>
      <c r="J119" s="79">
        <f>H119+I119</f>
        <v/>
      </c>
      <c r="K119" s="79">
        <f>J119-G119</f>
        <v/>
      </c>
      <c r="L119" s="79">
        <f>J119*'Assessment Inputs'!$B$14</f>
        <v/>
      </c>
      <c r="M119" s="79">
        <f>G119*'Assessment Inputs'!$B$14</f>
        <v/>
      </c>
      <c r="N119" s="79">
        <f>L119-M119</f>
        <v/>
      </c>
      <c r="O119" s="79">
        <f>K119*('Assessment Inputs'!$B$3-'Assessment Inputs'!$B$4)/'Assessment Inputs'!$B$3</f>
        <v/>
      </c>
      <c r="P119" s="79">
        <f>N119*'Assessment Inputs'!$B$12</f>
        <v/>
      </c>
      <c r="Q119" s="79">
        <f>L119*'Assessment Inputs'!$B$12</f>
        <v/>
      </c>
      <c r="R119" s="51" t="inlineStr">
        <is>
          <t>high</t>
        </is>
      </c>
      <c r="S119" s="51" t="inlineStr">
        <is>
          <t>3700 N Windsong Dr, Prescott Valley, AZ 86314</t>
        </is>
      </c>
    </row>
    <row r="120" ht="15" customHeight="1" s="44">
      <c r="A120" s="51" t="inlineStr">
        <is>
          <t>Reunion Rehabilitation Hospital Peoria</t>
        </is>
      </c>
      <c r="B120" s="51" t="inlineStr">
        <is>
          <t>Reunion Rehabilitation Hospitals</t>
        </is>
      </c>
      <c r="C120" s="51" t="inlineStr">
        <is>
          <t>Peoria</t>
        </is>
      </c>
      <c r="D120" s="51" t="inlineStr">
        <is>
          <t>Maricopa</t>
        </is>
      </c>
      <c r="E120" s="48" t="n">
        <v>28</v>
      </c>
      <c r="F120" s="51" t="n"/>
      <c r="G120" s="76" t="n">
        <v>0</v>
      </c>
      <c r="H120" s="76" t="n">
        <v>627137.4</v>
      </c>
      <c r="I120" s="76" t="n">
        <v>114408</v>
      </c>
      <c r="J120" s="79">
        <f>H120+I120</f>
        <v/>
      </c>
      <c r="K120" s="79">
        <f>J120-G120</f>
        <v/>
      </c>
      <c r="L120" s="79">
        <f>J120*'Assessment Inputs'!$B$14</f>
        <v/>
      </c>
      <c r="M120" s="79">
        <f>G120*'Assessment Inputs'!$B$14</f>
        <v/>
      </c>
      <c r="N120" s="79">
        <f>L120-M120</f>
        <v/>
      </c>
      <c r="O120" s="79">
        <f>K120*('Assessment Inputs'!$B$3-'Assessment Inputs'!$B$4)/'Assessment Inputs'!$B$3</f>
        <v/>
      </c>
      <c r="P120" s="79">
        <f>N120*'Assessment Inputs'!$B$12</f>
        <v/>
      </c>
      <c r="Q120" s="79">
        <f>L120*'Assessment Inputs'!$B$12</f>
        <v/>
      </c>
      <c r="R120" s="51" t="inlineStr">
        <is>
          <t>medium</t>
        </is>
      </c>
      <c r="S120" s="51" t="inlineStr">
        <is>
          <t>13451 N 94th Dr, Peoria, AZ 85381</t>
        </is>
      </c>
    </row>
    <row r="121" ht="15" customHeight="1" s="44">
      <c r="A121" s="51" t="inlineStr">
        <is>
          <t>Arizona Spine and Joint Hospital</t>
        </is>
      </c>
      <c r="B121" s="51" t="inlineStr">
        <is>
          <t>United Surgical Partners</t>
        </is>
      </c>
      <c r="C121" s="51" t="inlineStr">
        <is>
          <t>Mesa</t>
        </is>
      </c>
      <c r="D121" s="51" t="inlineStr">
        <is>
          <t>Maricopa</t>
        </is>
      </c>
      <c r="E121" s="48" t="n">
        <v>10</v>
      </c>
      <c r="F121" s="51" t="n"/>
      <c r="G121" s="76" t="n">
        <v>0</v>
      </c>
      <c r="H121" s="76" t="n">
        <v>541430.7</v>
      </c>
      <c r="I121" s="76" t="n">
        <v>190213</v>
      </c>
      <c r="J121" s="79">
        <f>H121+I121</f>
        <v/>
      </c>
      <c r="K121" s="79">
        <f>J121-G121</f>
        <v/>
      </c>
      <c r="L121" s="79">
        <f>J121*'Assessment Inputs'!$B$14</f>
        <v/>
      </c>
      <c r="M121" s="79">
        <f>G121*'Assessment Inputs'!$B$14</f>
        <v/>
      </c>
      <c r="N121" s="79">
        <f>L121-M121</f>
        <v/>
      </c>
      <c r="O121" s="79">
        <f>K121*('Assessment Inputs'!$B$3-'Assessment Inputs'!$B$4)/'Assessment Inputs'!$B$3</f>
        <v/>
      </c>
      <c r="P121" s="79">
        <f>N121*'Assessment Inputs'!$B$12</f>
        <v/>
      </c>
      <c r="Q121" s="79">
        <f>L121*'Assessment Inputs'!$B$12</f>
        <v/>
      </c>
      <c r="R121" s="51" t="inlineStr">
        <is>
          <t>medium</t>
        </is>
      </c>
      <c r="S121" s="51" t="inlineStr">
        <is>
          <t>4620 E Baseline Rd, Mesa, AZ 85206</t>
        </is>
      </c>
    </row>
    <row r="122" ht="15" customHeight="1" s="44">
      <c r="A122" s="51" t="inlineStr">
        <is>
          <t>Yuma Rehabilitation Hospital (Encompass Health)</t>
        </is>
      </c>
      <c r="B122" s="51" t="inlineStr">
        <is>
          <t>Encompass Health</t>
        </is>
      </c>
      <c r="C122" s="51" t="inlineStr">
        <is>
          <t>Yuma</t>
        </is>
      </c>
      <c r="D122" s="51" t="inlineStr">
        <is>
          <t>Yuma</t>
        </is>
      </c>
      <c r="E122" s="48" t="n">
        <v>25</v>
      </c>
      <c r="F122" s="51" t="n"/>
      <c r="G122" s="76" t="n">
        <v>0</v>
      </c>
      <c r="H122" s="76" t="n">
        <v>370516.18</v>
      </c>
      <c r="I122" s="76" t="n">
        <v>307997</v>
      </c>
      <c r="J122" s="79">
        <f>H122+I122</f>
        <v/>
      </c>
      <c r="K122" s="79">
        <f>J122-G122</f>
        <v/>
      </c>
      <c r="L122" s="79">
        <f>J122*'Assessment Inputs'!$B$14</f>
        <v/>
      </c>
      <c r="M122" s="79">
        <f>G122*'Assessment Inputs'!$B$14</f>
        <v/>
      </c>
      <c r="N122" s="79">
        <f>L122-M122</f>
        <v/>
      </c>
      <c r="O122" s="79">
        <f>K122*('Assessment Inputs'!$B$3-'Assessment Inputs'!$B$4)/'Assessment Inputs'!$B$3</f>
        <v/>
      </c>
      <c r="P122" s="79">
        <f>N122*'Assessment Inputs'!$B$12</f>
        <v/>
      </c>
      <c r="Q122" s="79">
        <f>L122*'Assessment Inputs'!$B$12</f>
        <v/>
      </c>
      <c r="R122" s="51" t="inlineStr">
        <is>
          <t>high</t>
        </is>
      </c>
      <c r="S122" s="51" t="inlineStr">
        <is>
          <t>901 W 24th St, Yuma, AZ 85364</t>
        </is>
      </c>
    </row>
    <row r="123" ht="15" customHeight="1" s="44">
      <c r="A123" s="51" t="inlineStr">
        <is>
          <t>ClearSky Rehabilitation Hospital of Avondale</t>
        </is>
      </c>
      <c r="B123" s="51" t="inlineStr">
        <is>
          <t>ClearSky Health</t>
        </is>
      </c>
      <c r="C123" s="51" t="inlineStr">
        <is>
          <t>Avondale</t>
        </is>
      </c>
      <c r="D123" s="51" t="inlineStr">
        <is>
          <t>Maricopa</t>
        </is>
      </c>
      <c r="E123" s="48" t="n">
        <v>22</v>
      </c>
      <c r="F123" s="51" t="n"/>
      <c r="G123" s="76" t="n">
        <v>0</v>
      </c>
      <c r="H123" s="76" t="n">
        <v>542378.86</v>
      </c>
      <c r="I123" s="76" t="n">
        <v>0</v>
      </c>
      <c r="J123" s="79">
        <f>H123+I123</f>
        <v/>
      </c>
      <c r="K123" s="79">
        <f>J123-G123</f>
        <v/>
      </c>
      <c r="L123" s="79">
        <f>J123*'Assessment Inputs'!$B$14</f>
        <v/>
      </c>
      <c r="M123" s="79">
        <f>G123*'Assessment Inputs'!$B$14</f>
        <v/>
      </c>
      <c r="N123" s="79">
        <f>L123-M123</f>
        <v/>
      </c>
      <c r="O123" s="79">
        <f>K123*('Assessment Inputs'!$B$3-'Assessment Inputs'!$B$4)/'Assessment Inputs'!$B$3</f>
        <v/>
      </c>
      <c r="P123" s="79">
        <f>N123*'Assessment Inputs'!$B$12</f>
        <v/>
      </c>
      <c r="Q123" s="79">
        <f>L123*'Assessment Inputs'!$B$12</f>
        <v/>
      </c>
      <c r="R123" s="51" t="inlineStr">
        <is>
          <t>high</t>
        </is>
      </c>
      <c r="S123" s="51" t="inlineStr">
        <is>
          <t>10903 W McDowell Rd, Avondale, AZ 85392</t>
        </is>
      </c>
    </row>
    <row r="124" ht="15" customHeight="1" s="44">
      <c r="A124" s="51" t="inlineStr">
        <is>
          <t>Abrazo Surprise Hospital</t>
        </is>
      </c>
      <c r="B124" s="51" t="inlineStr">
        <is>
          <t>Abrazo Health Care</t>
        </is>
      </c>
      <c r="C124" s="51" t="inlineStr">
        <is>
          <t>Surprise</t>
        </is>
      </c>
      <c r="D124" s="51" t="inlineStr">
        <is>
          <t>Maricopa</t>
        </is>
      </c>
      <c r="E124" s="48" t="n">
        <v>25</v>
      </c>
      <c r="F124" s="51" t="n"/>
      <c r="G124" s="76" t="n">
        <v>0</v>
      </c>
      <c r="H124" s="76" t="n">
        <v>530227.8</v>
      </c>
      <c r="I124" s="76" t="n">
        <v>0</v>
      </c>
      <c r="J124" s="79">
        <f>H124+I124</f>
        <v/>
      </c>
      <c r="K124" s="79">
        <f>J124-G124</f>
        <v/>
      </c>
      <c r="L124" s="79">
        <f>J124*'Assessment Inputs'!$B$14</f>
        <v/>
      </c>
      <c r="M124" s="79">
        <f>G124*'Assessment Inputs'!$B$14</f>
        <v/>
      </c>
      <c r="N124" s="79">
        <f>L124-M124</f>
        <v/>
      </c>
      <c r="O124" s="79">
        <f>K124*('Assessment Inputs'!$B$3-'Assessment Inputs'!$B$4)/'Assessment Inputs'!$B$3</f>
        <v/>
      </c>
      <c r="P124" s="79">
        <f>N124*'Assessment Inputs'!$B$12</f>
        <v/>
      </c>
      <c r="Q124" s="79">
        <f>L124*'Assessment Inputs'!$B$12</f>
        <v/>
      </c>
      <c r="R124" s="51" t="inlineStr">
        <is>
          <t>high</t>
        </is>
      </c>
      <c r="S124" s="51" t="inlineStr">
        <is>
          <t>16815 W Bell Rd, Surprise, AZ 85374</t>
        </is>
      </c>
    </row>
    <row r="125" ht="15" customHeight="1" s="44">
      <c r="A125" s="51" t="inlineStr">
        <is>
          <t>Dignity Health East Valley Rehabilitation Hospital – Chandler (Dignity–Kindred)</t>
        </is>
      </c>
      <c r="B125" s="51" t="inlineStr">
        <is>
          <t>Lifepoint Health</t>
        </is>
      </c>
      <c r="C125" s="51" t="inlineStr">
        <is>
          <t>Chandler</t>
        </is>
      </c>
      <c r="D125" s="51" t="inlineStr">
        <is>
          <t>Maricopa</t>
        </is>
      </c>
      <c r="E125" s="48" t="n">
        <v>13</v>
      </c>
      <c r="F125" s="51" t="n"/>
      <c r="G125" s="76" t="n">
        <v>0</v>
      </c>
      <c r="H125" s="76" t="n">
        <v>238432.17</v>
      </c>
      <c r="I125" s="76" t="n">
        <v>269891</v>
      </c>
      <c r="J125" s="79">
        <f>H125+I125</f>
        <v/>
      </c>
      <c r="K125" s="79">
        <f>J125-G125</f>
        <v/>
      </c>
      <c r="L125" s="79">
        <f>J125*'Assessment Inputs'!$B$14</f>
        <v/>
      </c>
      <c r="M125" s="79">
        <f>G125*'Assessment Inputs'!$B$14</f>
        <v/>
      </c>
      <c r="N125" s="79">
        <f>L125-M125</f>
        <v/>
      </c>
      <c r="O125" s="79">
        <f>K125*('Assessment Inputs'!$B$3-'Assessment Inputs'!$B$4)/'Assessment Inputs'!$B$3</f>
        <v/>
      </c>
      <c r="P125" s="79">
        <f>N125*'Assessment Inputs'!$B$12</f>
        <v/>
      </c>
      <c r="Q125" s="79">
        <f>L125*'Assessment Inputs'!$B$12</f>
        <v/>
      </c>
      <c r="R125" s="51" t="inlineStr">
        <is>
          <t>high</t>
        </is>
      </c>
      <c r="S125" s="51" t="inlineStr">
        <is>
          <t>1515 W Chandler Blvd, Chandler, AZ 85224</t>
        </is>
      </c>
    </row>
    <row r="126" ht="15" customHeight="1" s="44">
      <c r="A126" s="51" t="inlineStr">
        <is>
          <t>PAM Health Rehabilitation Hospital of Surprise (formerly Cobalt Rehabilitation Hospital)</t>
        </is>
      </c>
      <c r="B126" s="51" t="inlineStr">
        <is>
          <t>Pam Health</t>
        </is>
      </c>
      <c r="C126" s="51" t="inlineStr">
        <is>
          <t>Surprise</t>
        </is>
      </c>
      <c r="D126" s="51" t="inlineStr">
        <is>
          <t>Maricopa</t>
        </is>
      </c>
      <c r="E126" s="48" t="n">
        <v>28</v>
      </c>
      <c r="F126" s="51" t="n"/>
      <c r="G126" s="76" t="n">
        <v>0</v>
      </c>
      <c r="H126" s="76" t="n">
        <v>323954.12</v>
      </c>
      <c r="I126" s="76" t="n">
        <v>170504</v>
      </c>
      <c r="J126" s="79">
        <f>H126+I126</f>
        <v/>
      </c>
      <c r="K126" s="79">
        <f>J126-G126</f>
        <v/>
      </c>
      <c r="L126" s="79">
        <f>J126*'Assessment Inputs'!$B$14</f>
        <v/>
      </c>
      <c r="M126" s="79">
        <f>G126*'Assessment Inputs'!$B$14</f>
        <v/>
      </c>
      <c r="N126" s="79">
        <f>L126-M126</f>
        <v/>
      </c>
      <c r="O126" s="79">
        <f>K126*('Assessment Inputs'!$B$3-'Assessment Inputs'!$B$4)/'Assessment Inputs'!$B$3</f>
        <v/>
      </c>
      <c r="P126" s="79">
        <f>N126*'Assessment Inputs'!$B$12</f>
        <v/>
      </c>
      <c r="Q126" s="79">
        <f>L126*'Assessment Inputs'!$B$12</f>
        <v/>
      </c>
      <c r="R126" s="51" t="inlineStr">
        <is>
          <t>high</t>
        </is>
      </c>
      <c r="S126" s="51" t="inlineStr">
        <is>
          <t>13060 W Bell Rd, Surprise, AZ 85378</t>
        </is>
      </c>
    </row>
    <row r="127" ht="15" customHeight="1" s="44">
      <c r="A127" s="51" t="inlineStr">
        <is>
          <t>Exceptional Community Hospital – Bullhead City</t>
        </is>
      </c>
      <c r="B127" s="51" t="inlineStr">
        <is>
          <t>Exceptional Healthcare</t>
        </is>
      </c>
      <c r="C127" s="51" t="inlineStr">
        <is>
          <t>Bullhead City</t>
        </is>
      </c>
      <c r="D127" s="51" t="inlineStr">
        <is>
          <t>Mohave</t>
        </is>
      </c>
      <c r="E127" s="48" t="n">
        <v>30</v>
      </c>
      <c r="F127" s="51" t="n"/>
      <c r="G127" s="76" t="n">
        <v>0</v>
      </c>
      <c r="H127" s="76" t="n">
        <v>419399.81</v>
      </c>
      <c r="I127" s="76" t="n">
        <v>0</v>
      </c>
      <c r="J127" s="79">
        <f>H127+I127</f>
        <v/>
      </c>
      <c r="K127" s="79">
        <f>J127-G127</f>
        <v/>
      </c>
      <c r="L127" s="79">
        <f>J127*'Assessment Inputs'!$B$14</f>
        <v/>
      </c>
      <c r="M127" s="79">
        <f>G127*'Assessment Inputs'!$B$14</f>
        <v/>
      </c>
      <c r="N127" s="79">
        <f>L127-M127</f>
        <v/>
      </c>
      <c r="O127" s="79">
        <f>K127*('Assessment Inputs'!$B$3-'Assessment Inputs'!$B$4)/'Assessment Inputs'!$B$3</f>
        <v/>
      </c>
      <c r="P127" s="79">
        <f>N127*'Assessment Inputs'!$B$12</f>
        <v/>
      </c>
      <c r="Q127" s="79">
        <f>L127*'Assessment Inputs'!$B$12</f>
        <v/>
      </c>
      <c r="R127" s="51" t="inlineStr">
        <is>
          <t>high</t>
        </is>
      </c>
      <c r="S127" s="51" t="inlineStr">
        <is>
          <t>2365 Highway 95, Bullhead City, AZ 86442</t>
        </is>
      </c>
    </row>
    <row r="128" ht="15" customHeight="1" s="44">
      <c r="A128" s="51" t="inlineStr">
        <is>
          <t>East Valley ER &amp; Hospital</t>
        </is>
      </c>
      <c r="B128" s="51" t="inlineStr">
        <is>
          <t>Nutex Health</t>
        </is>
      </c>
      <c r="C128" s="51" t="inlineStr">
        <is>
          <t>Gilbert</t>
        </is>
      </c>
      <c r="D128" s="51" t="inlineStr">
        <is>
          <t>Maricopa</t>
        </is>
      </c>
      <c r="E128" s="48" t="n">
        <v>14</v>
      </c>
      <c r="F128" s="51" t="n"/>
      <c r="G128" s="76" t="n">
        <v>0</v>
      </c>
      <c r="H128" s="76" t="n">
        <v>404725.92</v>
      </c>
      <c r="I128" s="76" t="n">
        <v>1406</v>
      </c>
      <c r="J128" s="79">
        <f>H128+I128</f>
        <v/>
      </c>
      <c r="K128" s="79">
        <f>J128-G128</f>
        <v/>
      </c>
      <c r="L128" s="79">
        <f>J128*'Assessment Inputs'!$B$14</f>
        <v/>
      </c>
      <c r="M128" s="79">
        <f>G128*'Assessment Inputs'!$B$14</f>
        <v/>
      </c>
      <c r="N128" s="79">
        <f>L128-M128</f>
        <v/>
      </c>
      <c r="O128" s="79">
        <f>K128*('Assessment Inputs'!$B$3-'Assessment Inputs'!$B$4)/'Assessment Inputs'!$B$3</f>
        <v/>
      </c>
      <c r="P128" s="79">
        <f>N128*'Assessment Inputs'!$B$12</f>
        <v/>
      </c>
      <c r="Q128" s="79">
        <f>L128*'Assessment Inputs'!$B$12</f>
        <v/>
      </c>
      <c r="R128" s="51" t="inlineStr">
        <is>
          <t>medium</t>
        </is>
      </c>
      <c r="S128" s="51" t="inlineStr">
        <is>
          <t>5656 S Power Rd, Gilbert, AZ 85295</t>
        </is>
      </c>
    </row>
    <row r="129" ht="15" customHeight="1" s="44">
      <c r="A129" s="51" t="inlineStr">
        <is>
          <t>Arizona State Hospital</t>
        </is>
      </c>
      <c r="B129" s="51" t="inlineStr">
        <is>
          <t>State of Arizona</t>
        </is>
      </c>
      <c r="C129" s="51" t="inlineStr">
        <is>
          <t>Phoenix</t>
        </is>
      </c>
      <c r="D129" s="51" t="inlineStr">
        <is>
          <t>Maricopa</t>
        </is>
      </c>
      <c r="E129" s="48" t="n">
        <v>11</v>
      </c>
      <c r="F129" s="51" t="n"/>
      <c r="G129" s="76" t="n">
        <v>0</v>
      </c>
      <c r="H129" s="76" t="n">
        <v>0</v>
      </c>
      <c r="I129" s="76" t="n">
        <v>279690</v>
      </c>
      <c r="J129" s="79">
        <f>H129+I129</f>
        <v/>
      </c>
      <c r="K129" s="79">
        <f>J129-G129</f>
        <v/>
      </c>
      <c r="L129" s="79">
        <f>J129*'Assessment Inputs'!$B$14</f>
        <v/>
      </c>
      <c r="M129" s="79">
        <f>G129*'Assessment Inputs'!$B$14</f>
        <v/>
      </c>
      <c r="N129" s="79">
        <f>L129-M129</f>
        <v/>
      </c>
      <c r="O129" s="79">
        <f>K129*('Assessment Inputs'!$B$3-'Assessment Inputs'!$B$4)/'Assessment Inputs'!$B$3</f>
        <v/>
      </c>
      <c r="P129" s="79">
        <f>N129*'Assessment Inputs'!$B$12</f>
        <v/>
      </c>
      <c r="Q129" s="79">
        <f>L129*'Assessment Inputs'!$B$12</f>
        <v/>
      </c>
      <c r="R129" s="51" t="inlineStr">
        <is>
          <t>high</t>
        </is>
      </c>
      <c r="S129" s="51" t="inlineStr">
        <is>
          <t>2500 E Van Buren St, Phoenix, AZ 85008</t>
        </is>
      </c>
    </row>
    <row r="130" ht="15" customHeight="1" s="44">
      <c r="A130" s="51" t="inlineStr">
        <is>
          <t>Arizona Specialty Hospital – Chandler campus (formerly Arizona Orthopedic Surgical Hospital)</t>
        </is>
      </c>
      <c r="B130" s="51" t="inlineStr">
        <is>
          <t>United Surgical Partners</t>
        </is>
      </c>
      <c r="C130" s="51" t="inlineStr">
        <is>
          <t>Chandler</t>
        </is>
      </c>
      <c r="D130" s="51" t="inlineStr">
        <is>
          <t>Maricopa</t>
        </is>
      </c>
      <c r="E130" s="48" t="n">
        <v>12</v>
      </c>
      <c r="F130" s="51" t="n"/>
      <c r="G130" s="76" t="n">
        <v>0</v>
      </c>
      <c r="H130" s="76" t="n">
        <v>0</v>
      </c>
      <c r="I130" s="76" t="n">
        <v>251484</v>
      </c>
      <c r="J130" s="79">
        <f>H130+I130</f>
        <v/>
      </c>
      <c r="K130" s="79">
        <f>J130-G130</f>
        <v/>
      </c>
      <c r="L130" s="79">
        <f>J130*'Assessment Inputs'!$B$14</f>
        <v/>
      </c>
      <c r="M130" s="79">
        <f>G130*'Assessment Inputs'!$B$14</f>
        <v/>
      </c>
      <c r="N130" s="79">
        <f>L130-M130</f>
        <v/>
      </c>
      <c r="O130" s="79">
        <f>K130*('Assessment Inputs'!$B$3-'Assessment Inputs'!$B$4)/'Assessment Inputs'!$B$3</f>
        <v/>
      </c>
      <c r="P130" s="79">
        <f>N130*'Assessment Inputs'!$B$12</f>
        <v/>
      </c>
      <c r="Q130" s="79">
        <f>L130*'Assessment Inputs'!$B$12</f>
        <v/>
      </c>
      <c r="R130" s="51" t="inlineStr">
        <is>
          <t>high</t>
        </is>
      </c>
      <c r="S130" s="51" t="inlineStr">
        <is>
          <t>2905 W Warner Rd, Chandler, AZ 85224</t>
        </is>
      </c>
    </row>
    <row r="131" ht="15" customHeight="1" s="44">
      <c r="A131" s="51" t="inlineStr">
        <is>
          <t>Dignity Health East Valley Rehabilitation Hospital – Gilbert</t>
        </is>
      </c>
      <c r="B131" s="51" t="inlineStr">
        <is>
          <t>Dignity Health</t>
        </is>
      </c>
      <c r="C131" s="51" t="inlineStr">
        <is>
          <t>Gilbert</t>
        </is>
      </c>
      <c r="D131" s="51" t="inlineStr">
        <is>
          <t>Maricopa</t>
        </is>
      </c>
      <c r="E131" s="48" t="n">
        <v>14</v>
      </c>
      <c r="F131" s="51" t="n"/>
      <c r="G131" s="76" t="n">
        <v>0</v>
      </c>
      <c r="H131" s="76" t="n">
        <v>157280.62</v>
      </c>
      <c r="I131" s="76" t="n">
        <v>0</v>
      </c>
      <c r="J131" s="79">
        <f>H131+I131</f>
        <v/>
      </c>
      <c r="K131" s="79">
        <f>J131-G131</f>
        <v/>
      </c>
      <c r="L131" s="79">
        <f>J131*'Assessment Inputs'!$B$14</f>
        <v/>
      </c>
      <c r="M131" s="79">
        <f>G131*'Assessment Inputs'!$B$14</f>
        <v/>
      </c>
      <c r="N131" s="79">
        <f>L131-M131</f>
        <v/>
      </c>
      <c r="O131" s="79">
        <f>K131*('Assessment Inputs'!$B$3-'Assessment Inputs'!$B$4)/'Assessment Inputs'!$B$3</f>
        <v/>
      </c>
      <c r="P131" s="79">
        <f>N131*'Assessment Inputs'!$B$12</f>
        <v/>
      </c>
      <c r="Q131" s="79">
        <f>L131*'Assessment Inputs'!$B$12</f>
        <v/>
      </c>
      <c r="R131" s="51" t="inlineStr">
        <is>
          <t>high</t>
        </is>
      </c>
      <c r="S131" s="51" t="inlineStr">
        <is>
          <t>1850 S San Tan Village Pkwy, Gilbert, AZ 85295</t>
        </is>
      </c>
    </row>
    <row r="132" ht="15" customHeight="1" s="44">
      <c r="A132" s="51" t="inlineStr">
        <is>
          <t>Medical Behavioral Hospital of Northern Arizona (closed)</t>
        </is>
      </c>
      <c r="B132" s="51" t="inlineStr">
        <is>
          <t>Sana Behavioral Hospital</t>
        </is>
      </c>
      <c r="C132" s="51" t="inlineStr">
        <is>
          <t>Prescott</t>
        </is>
      </c>
      <c r="D132" s="51" t="inlineStr">
        <is>
          <t>Yavapai</t>
        </is>
      </c>
      <c r="E132" s="48" t="n">
        <v>1</v>
      </c>
      <c r="F132" s="51" t="n"/>
      <c r="G132" s="76" t="n">
        <v>0</v>
      </c>
      <c r="H132" s="76" t="n">
        <v>0</v>
      </c>
      <c r="I132" s="76" t="n">
        <v>0</v>
      </c>
      <c r="J132" s="79">
        <f>H132+I132</f>
        <v/>
      </c>
      <c r="K132" s="79">
        <f>J132-G132</f>
        <v/>
      </c>
      <c r="L132" s="79">
        <f>J132*'Assessment Inputs'!$B$14</f>
        <v/>
      </c>
      <c r="M132" s="79">
        <f>G132*'Assessment Inputs'!$B$14</f>
        <v/>
      </c>
      <c r="N132" s="79">
        <f>L132-M132</f>
        <v/>
      </c>
      <c r="O132" s="79">
        <f>K132*('Assessment Inputs'!$B$3-'Assessment Inputs'!$B$4)/'Assessment Inputs'!$B$3</f>
        <v/>
      </c>
      <c r="P132" s="79">
        <f>N132*'Assessment Inputs'!$B$12</f>
        <v/>
      </c>
      <c r="Q132" s="79">
        <f>L132*'Assessment Inputs'!$B$12</f>
        <v/>
      </c>
      <c r="R132" s="51" t="inlineStr">
        <is>
          <t>high</t>
        </is>
      </c>
      <c r="S132" s="51" t="inlineStr">
        <is>
          <t>181 Whipple St, Prescott, AZ 86301</t>
        </is>
      </c>
    </row>
    <row r="133" ht="15" customHeight="1" s="44">
      <c r="A133" s="51" t="inlineStr">
        <is>
          <t>PAM Health Specialty Hospital (formerly CuraHealth Phoenix Northwest) (closed)</t>
        </is>
      </c>
      <c r="B133" s="51" t="inlineStr">
        <is>
          <t>Curahealth</t>
        </is>
      </c>
      <c r="C133" s="51" t="inlineStr">
        <is>
          <t>Peoria</t>
        </is>
      </c>
      <c r="D133" s="51" t="inlineStr">
        <is>
          <t>Maricopa</t>
        </is>
      </c>
      <c r="E133" s="48" t="n">
        <v>28</v>
      </c>
      <c r="F133" s="51" t="n"/>
      <c r="G133" s="76" t="n">
        <v>0</v>
      </c>
      <c r="H133" s="76" t="n">
        <v>0</v>
      </c>
      <c r="I133" s="76" t="n">
        <v>0</v>
      </c>
      <c r="J133" s="79">
        <f>H133+I133</f>
        <v/>
      </c>
      <c r="K133" s="79">
        <f>J133-G133</f>
        <v/>
      </c>
      <c r="L133" s="79">
        <f>J133*'Assessment Inputs'!$B$14</f>
        <v/>
      </c>
      <c r="M133" s="79">
        <f>G133*'Assessment Inputs'!$B$14</f>
        <v/>
      </c>
      <c r="N133" s="79">
        <f>L133-M133</f>
        <v/>
      </c>
      <c r="O133" s="79">
        <f>K133*('Assessment Inputs'!$B$3-'Assessment Inputs'!$B$4)/'Assessment Inputs'!$B$3</f>
        <v/>
      </c>
      <c r="P133" s="79">
        <f>N133*'Assessment Inputs'!$B$12</f>
        <v/>
      </c>
      <c r="Q133" s="79">
        <f>L133*'Assessment Inputs'!$B$12</f>
        <v/>
      </c>
      <c r="R133" s="51" t="inlineStr">
        <is>
          <t>high</t>
        </is>
      </c>
      <c r="S133" s="51" t="inlineStr">
        <is>
          <t>13216 N Plaza Del Rio Blvd, Peoria, AZ 85381</t>
        </is>
      </c>
    </row>
    <row r="134" ht="15" customHeight="1" s="44">
      <c r="A134" s="51" t="inlineStr">
        <is>
          <t>Talas Harbor Behavioral Health Hospital – Bullhead City (closed)</t>
        </is>
      </c>
      <c r="B134" s="51" t="inlineStr">
        <is>
          <t>Talas Harbor</t>
        </is>
      </c>
      <c r="C134" s="51" t="inlineStr">
        <is>
          <t>Bullhead City</t>
        </is>
      </c>
      <c r="D134" s="51" t="inlineStr">
        <is>
          <t>Mohave</t>
        </is>
      </c>
      <c r="E134" s="48" t="n">
        <v>30</v>
      </c>
      <c r="F134" s="51" t="n"/>
      <c r="G134" s="76" t="n">
        <v>0</v>
      </c>
      <c r="H134" s="76" t="n">
        <v>0</v>
      </c>
      <c r="I134" s="76" t="n">
        <v>0</v>
      </c>
      <c r="J134" s="79">
        <f>H134+I134</f>
        <v/>
      </c>
      <c r="K134" s="79">
        <f>J134-G134</f>
        <v/>
      </c>
      <c r="L134" s="79">
        <f>J134*'Assessment Inputs'!$B$14</f>
        <v/>
      </c>
      <c r="M134" s="79">
        <f>G134*'Assessment Inputs'!$B$14</f>
        <v/>
      </c>
      <c r="N134" s="79">
        <f>L134-M134</f>
        <v/>
      </c>
      <c r="O134" s="79">
        <f>K134*('Assessment Inputs'!$B$3-'Assessment Inputs'!$B$4)/'Assessment Inputs'!$B$3</f>
        <v/>
      </c>
      <c r="P134" s="79">
        <f>N134*'Assessment Inputs'!$B$12</f>
        <v/>
      </c>
      <c r="Q134" s="79">
        <f>L134*'Assessment Inputs'!$B$12</f>
        <v/>
      </c>
      <c r="R134" s="51" t="inlineStr">
        <is>
          <t>high</t>
        </is>
      </c>
      <c r="S134" s="51" t="inlineStr">
        <is>
          <t>831 Landon Dr, Bullhead City, AZ 86429</t>
        </is>
      </c>
    </row>
    <row r="135" ht="15" customHeight="1" s="44">
      <c r="A135" s="51" t="inlineStr">
        <is>
          <t>Talas Harbor at Buckeye (Phoenix) (closed)</t>
        </is>
      </c>
      <c r="B135" s="51" t="inlineStr">
        <is>
          <t>Talas Harbor</t>
        </is>
      </c>
      <c r="C135" s="51" t="inlineStr">
        <is>
          <t>Phoenix</t>
        </is>
      </c>
      <c r="D135" s="51" t="inlineStr">
        <is>
          <t>Maricopa</t>
        </is>
      </c>
      <c r="E135" s="48" t="n">
        <v>11</v>
      </c>
      <c r="F135" s="51" t="n"/>
      <c r="G135" s="76" t="n">
        <v>0</v>
      </c>
      <c r="H135" s="76" t="n">
        <v>0</v>
      </c>
      <c r="I135" s="76" t="n">
        <v>0</v>
      </c>
      <c r="J135" s="79">
        <f>H135+I135</f>
        <v/>
      </c>
      <c r="K135" s="79">
        <f>J135-G135</f>
        <v/>
      </c>
      <c r="L135" s="79">
        <f>J135*'Assessment Inputs'!$B$14</f>
        <v/>
      </c>
      <c r="M135" s="79">
        <f>G135*'Assessment Inputs'!$B$14</f>
        <v/>
      </c>
      <c r="N135" s="79">
        <f>L135-M135</f>
        <v/>
      </c>
      <c r="O135" s="79">
        <f>K135*('Assessment Inputs'!$B$3-'Assessment Inputs'!$B$4)/'Assessment Inputs'!$B$3</f>
        <v/>
      </c>
      <c r="P135" s="79">
        <f>N135*'Assessment Inputs'!$B$12</f>
        <v/>
      </c>
      <c r="Q135" s="79">
        <f>L135*'Assessment Inputs'!$B$12</f>
        <v/>
      </c>
      <c r="R135" s="51" t="inlineStr">
        <is>
          <t>high</t>
        </is>
      </c>
      <c r="S135" s="51" t="inlineStr">
        <is>
          <t>1407 S 9th Ave, Phoenix, AZ 85007</t>
        </is>
      </c>
    </row>
    <row r="136" ht="15" customHeight="1" s="44">
      <c r="A136" s="48" t="inlineStr">
        <is>
          <t>All facilities</t>
        </is>
      </c>
      <c r="G136" s="80">
        <f>SUM(G2:G135)</f>
        <v/>
      </c>
      <c r="H136" s="80">
        <f>SUM(H2:H135)</f>
        <v/>
      </c>
      <c r="I136" s="80">
        <f>SUM(I2:I135)</f>
        <v/>
      </c>
      <c r="J136" s="80">
        <f>SUM(J2:J135)</f>
        <v/>
      </c>
      <c r="K136" s="80">
        <f>SUM(K2:K135)</f>
        <v/>
      </c>
      <c r="L136" s="80">
        <f>SUM(L2:L135)</f>
        <v/>
      </c>
      <c r="M136" s="80">
        <f>SUM(M2:M135)</f>
        <v/>
      </c>
      <c r="N136" s="80">
        <f>SUM(N2:N135)</f>
        <v/>
      </c>
      <c r="O136" s="80">
        <f>SUM(O2:O135)</f>
        <v/>
      </c>
      <c r="P136" s="80">
        <f>SUM(P2:P135)</f>
        <v/>
      </c>
      <c r="Q136" s="80">
        <f>SUM(Q2:Q135)</f>
        <v/>
      </c>
    </row>
    <row r="137" ht="15" customHeight="1" s="44">
      <c r="A137" s="48" t="inlineStr">
        <is>
          <t>Excluding IHS / tribal facilities</t>
        </is>
      </c>
      <c r="G137" s="80">
        <f>SUMIF($F$2:$F$135,"",G2:G135)</f>
        <v/>
      </c>
      <c r="H137" s="80">
        <f>SUMIF($F$2:$F$135,"",H2:H135)</f>
        <v/>
      </c>
      <c r="I137" s="80">
        <f>SUMIF($F$2:$F$135,"",I2:I135)</f>
        <v/>
      </c>
      <c r="J137" s="80">
        <f>SUMIF($F$2:$F$135,"",J2:J135)</f>
        <v/>
      </c>
      <c r="K137" s="80">
        <f>SUMIF($F$2:$F$135,"",K2:K135)</f>
        <v/>
      </c>
      <c r="L137" s="80">
        <f>SUMIF($F$2:$F$135,"",L2:L135)</f>
        <v/>
      </c>
      <c r="M137" s="80">
        <f>SUMIF($F$2:$F$135,"",M2:M135)</f>
        <v/>
      </c>
      <c r="N137" s="80">
        <f>SUMIF($F$2:$F$135,"",N2:N135)</f>
        <v/>
      </c>
      <c r="O137" s="80">
        <f>SUMIF($F$2:$F$135,"",O2:O135)</f>
        <v/>
      </c>
      <c r="P137" s="80">
        <f>SUMIF($F$2:$F$135,"",P2:P135)</f>
        <v/>
      </c>
      <c r="Q137" s="80">
        <f>SUMIF($F$2:$F$135,"",Q2:Q135)</f>
        <v/>
      </c>
    </row>
    <row r="138"/>
    <row r="139" ht="45" customHeight="1" s="44">
      <c r="A139" s="46" t="inlineStr">
        <is>
          <t>Source: AHCCCS, SFY 2025 Hospital Assessment Report to the Legislature (A.R.S. 36-2903.08), June 1 2026 — https://www.azahcccs.gov/shared/Downloads/Reporting/2026/2026HospitalAssessmentReport.pdf . Blue = figures as printed in the report (facilities appearing under two names are combined). Closed facilities (Talas Harbor x2, PAM Health Specialty, Medical Behavioral Hospital of Northern Arizona) had no SFY 2025 flows and are omitted from totals.</t>
        </is>
      </c>
    </row>
  </sheetData>
  <mergeCells count="1">
    <mergeCell ref="A139:S13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L53"/>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4" customWidth="1" style="43" min="1" max="1"/>
    <col width="10" customWidth="1" style="43" min="2" max="2"/>
    <col width="16" customWidth="1" style="43" min="3" max="5"/>
    <col width="18" customWidth="1" style="43" min="6" max="6"/>
    <col width="16" customWidth="1" style="43" min="7" max="11"/>
    <col width="10" customWidth="1" style="43" min="12" max="12"/>
  </cols>
  <sheetData>
    <row r="1" ht="48" customHeight="1" s="44">
      <c r="A1" s="50" t="inlineStr">
        <is>
          <t>Hospital system</t>
        </is>
      </c>
      <c r="B1" s="50" t="inlineStr">
        <is>
          <t>Facilities</t>
        </is>
      </c>
      <c r="C1" s="50" t="inlineStr">
        <is>
          <t>SFY 2025 assessment paid</t>
        </is>
      </c>
      <c r="D1" s="50" t="inlineStr">
        <is>
          <t>SFY 2025 payments received</t>
        </is>
      </c>
      <c r="E1" s="50" t="inlineStr">
        <is>
          <t>Net gain</t>
        </is>
      </c>
      <c r="F1" s="50" t="inlineStr">
        <is>
          <t>Payments lost per year at 3.5% (revenue reduction)</t>
        </is>
      </c>
      <c r="G1" s="50" t="inlineStr">
        <is>
          <t>Assessment saved per year</t>
        </is>
      </c>
      <c r="H1" s="50" t="inlineStr">
        <is>
          <t>Net loss per year at 3.5%</t>
        </is>
      </c>
      <c r="I1" s="50" t="inlineStr">
        <is>
          <t>Net loss in FFY 2028 (first step)</t>
        </is>
      </c>
      <c r="J1" s="50" t="inlineStr">
        <is>
          <t>Ten-year payments lost</t>
        </is>
      </c>
      <c r="K1" s="50" t="inlineStr">
        <is>
          <t>Ten-year net loss</t>
        </is>
      </c>
      <c r="L1" s="50" t="inlineStr">
        <is>
          <t>IHS / tribal</t>
        </is>
      </c>
    </row>
    <row r="2" ht="15" customHeight="1" s="44">
      <c r="A2" s="48" t="inlineStr">
        <is>
          <t>Banner Health</t>
        </is>
      </c>
      <c r="B2" s="51" t="n">
        <v>18</v>
      </c>
      <c r="C2" s="81">
        <f>SUMIF('Assessment by Facility'!$B$2:$B$135,A2,'Assessment by Facility'!$G$2:$G$135)</f>
        <v/>
      </c>
      <c r="D2" s="81">
        <f>SUMIF('Assessment by Facility'!$B$2:$B$135,A2,'Assessment by Facility'!$J$2:$J$135)</f>
        <v/>
      </c>
      <c r="E2" s="79">
        <f>D2-C2</f>
        <v/>
      </c>
      <c r="F2" s="79">
        <f>D2*'Assessment Inputs'!$B$14</f>
        <v/>
      </c>
      <c r="G2" s="79">
        <f>C2*'Assessment Inputs'!$B$14</f>
        <v/>
      </c>
      <c r="H2" s="79">
        <f>F2-G2</f>
        <v/>
      </c>
      <c r="I2" s="79">
        <f>E2*('Assessment Inputs'!$B$3-'Assessment Inputs'!$B$4)/'Assessment Inputs'!$B$3</f>
        <v/>
      </c>
      <c r="J2" s="79">
        <f>F2*'Assessment Inputs'!$B$12</f>
        <v/>
      </c>
      <c r="K2" s="79">
        <f>H2*'Assessment Inputs'!$B$12</f>
        <v/>
      </c>
      <c r="L2" s="51" t="n"/>
    </row>
    <row r="3" ht="15" customHeight="1" s="44">
      <c r="A3" s="48" t="inlineStr">
        <is>
          <t>Dignity Health</t>
        </is>
      </c>
      <c r="B3" s="51" t="n">
        <v>8</v>
      </c>
      <c r="C3" s="81">
        <f>SUMIF('Assessment by Facility'!$B$2:$B$135,A3,'Assessment by Facility'!$G$2:$G$135)</f>
        <v/>
      </c>
      <c r="D3" s="81">
        <f>SUMIF('Assessment by Facility'!$B$2:$B$135,A3,'Assessment by Facility'!$J$2:$J$135)</f>
        <v/>
      </c>
      <c r="E3" s="79">
        <f>D3-C3</f>
        <v/>
      </c>
      <c r="F3" s="79">
        <f>D3*'Assessment Inputs'!$B$14</f>
        <v/>
      </c>
      <c r="G3" s="79">
        <f>C3*'Assessment Inputs'!$B$14</f>
        <v/>
      </c>
      <c r="H3" s="79">
        <f>F3-G3</f>
        <v/>
      </c>
      <c r="I3" s="79">
        <f>E3*('Assessment Inputs'!$B$3-'Assessment Inputs'!$B$4)/'Assessment Inputs'!$B$3</f>
        <v/>
      </c>
      <c r="J3" s="79">
        <f>F3*'Assessment Inputs'!$B$12</f>
        <v/>
      </c>
      <c r="K3" s="79">
        <f>H3*'Assessment Inputs'!$B$12</f>
        <v/>
      </c>
      <c r="L3" s="51" t="n"/>
    </row>
    <row r="4" ht="15" customHeight="1" s="44">
      <c r="A4" s="48" t="inlineStr">
        <is>
          <t>HonorHealth</t>
        </is>
      </c>
      <c r="B4" s="51" t="n">
        <v>9</v>
      </c>
      <c r="C4" s="81">
        <f>SUMIF('Assessment by Facility'!$B$2:$B$135,A4,'Assessment by Facility'!$G$2:$G$135)</f>
        <v/>
      </c>
      <c r="D4" s="81">
        <f>SUMIF('Assessment by Facility'!$B$2:$B$135,A4,'Assessment by Facility'!$J$2:$J$135)</f>
        <v/>
      </c>
      <c r="E4" s="79">
        <f>D4-C4</f>
        <v/>
      </c>
      <c r="F4" s="79">
        <f>D4*'Assessment Inputs'!$B$14</f>
        <v/>
      </c>
      <c r="G4" s="79">
        <f>C4*'Assessment Inputs'!$B$14</f>
        <v/>
      </c>
      <c r="H4" s="79">
        <f>F4-G4</f>
        <v/>
      </c>
      <c r="I4" s="79">
        <f>E4*('Assessment Inputs'!$B$3-'Assessment Inputs'!$B$4)/'Assessment Inputs'!$B$3</f>
        <v/>
      </c>
      <c r="J4" s="79">
        <f>F4*'Assessment Inputs'!$B$12</f>
        <v/>
      </c>
      <c r="K4" s="79">
        <f>H4*'Assessment Inputs'!$B$12</f>
        <v/>
      </c>
      <c r="L4" s="51" t="n"/>
    </row>
    <row r="5" ht="15" customHeight="1" s="44">
      <c r="A5" s="48" t="inlineStr">
        <is>
          <t>Abrazo Health Care</t>
        </is>
      </c>
      <c r="B5" s="51" t="n">
        <v>8</v>
      </c>
      <c r="C5" s="81">
        <f>SUMIF('Assessment by Facility'!$B$2:$B$135,A5,'Assessment by Facility'!$G$2:$G$135)</f>
        <v/>
      </c>
      <c r="D5" s="81">
        <f>SUMIF('Assessment by Facility'!$B$2:$B$135,A5,'Assessment by Facility'!$J$2:$J$135)</f>
        <v/>
      </c>
      <c r="E5" s="79">
        <f>D5-C5</f>
        <v/>
      </c>
      <c r="F5" s="79">
        <f>D5*'Assessment Inputs'!$B$14</f>
        <v/>
      </c>
      <c r="G5" s="79">
        <f>C5*'Assessment Inputs'!$B$14</f>
        <v/>
      </c>
      <c r="H5" s="79">
        <f>F5-G5</f>
        <v/>
      </c>
      <c r="I5" s="79">
        <f>E5*('Assessment Inputs'!$B$3-'Assessment Inputs'!$B$4)/'Assessment Inputs'!$B$3</f>
        <v/>
      </c>
      <c r="J5" s="79">
        <f>F5*'Assessment Inputs'!$B$12</f>
        <v/>
      </c>
      <c r="K5" s="79">
        <f>H5*'Assessment Inputs'!$B$12</f>
        <v/>
      </c>
      <c r="L5" s="51" t="n"/>
    </row>
    <row r="6" ht="15" customHeight="1" s="44">
      <c r="A6" s="48" t="inlineStr">
        <is>
          <t>IHS</t>
        </is>
      </c>
      <c r="B6" s="51" t="n">
        <v>10</v>
      </c>
      <c r="C6" s="81">
        <f>SUMIF('Assessment by Facility'!$B$2:$B$135,A6,'Assessment by Facility'!$G$2:$G$135)</f>
        <v/>
      </c>
      <c r="D6" s="81">
        <f>SUMIF('Assessment by Facility'!$B$2:$B$135,A6,'Assessment by Facility'!$J$2:$J$135)</f>
        <v/>
      </c>
      <c r="E6" s="79">
        <f>D6-C6</f>
        <v/>
      </c>
      <c r="F6" s="79">
        <f>D6*'Assessment Inputs'!$B$14</f>
        <v/>
      </c>
      <c r="G6" s="79">
        <f>C6*'Assessment Inputs'!$B$14</f>
        <v/>
      </c>
      <c r="H6" s="79">
        <f>F6-G6</f>
        <v/>
      </c>
      <c r="I6" s="79">
        <f>E6*('Assessment Inputs'!$B$3-'Assessment Inputs'!$B$4)/'Assessment Inputs'!$B$3</f>
        <v/>
      </c>
      <c r="J6" s="79">
        <f>F6*'Assessment Inputs'!$B$12</f>
        <v/>
      </c>
      <c r="K6" s="79">
        <f>H6*'Assessment Inputs'!$B$12</f>
        <v/>
      </c>
      <c r="L6" s="51" t="inlineStr">
        <is>
          <t>Yes</t>
        </is>
      </c>
    </row>
    <row r="7" ht="15" customHeight="1" s="44">
      <c r="A7" s="48" t="inlineStr">
        <is>
          <t>TMC Healthcare</t>
        </is>
      </c>
      <c r="B7" s="51" t="n">
        <v>3</v>
      </c>
      <c r="C7" s="81">
        <f>SUMIF('Assessment by Facility'!$B$2:$B$135,A7,'Assessment by Facility'!$G$2:$G$135)</f>
        <v/>
      </c>
      <c r="D7" s="81">
        <f>SUMIF('Assessment by Facility'!$B$2:$B$135,A7,'Assessment by Facility'!$J$2:$J$135)</f>
        <v/>
      </c>
      <c r="E7" s="79">
        <f>D7-C7</f>
        <v/>
      </c>
      <c r="F7" s="79">
        <f>D7*'Assessment Inputs'!$B$14</f>
        <v/>
      </c>
      <c r="G7" s="79">
        <f>C7*'Assessment Inputs'!$B$14</f>
        <v/>
      </c>
      <c r="H7" s="79">
        <f>F7-G7</f>
        <v/>
      </c>
      <c r="I7" s="79">
        <f>E7*('Assessment Inputs'!$B$3-'Assessment Inputs'!$B$4)/'Assessment Inputs'!$B$3</f>
        <v/>
      </c>
      <c r="J7" s="79">
        <f>F7*'Assessment Inputs'!$B$12</f>
        <v/>
      </c>
      <c r="K7" s="79">
        <f>H7*'Assessment Inputs'!$B$12</f>
        <v/>
      </c>
      <c r="L7" s="51" t="n"/>
    </row>
    <row r="8" ht="15" customHeight="1" s="44">
      <c r="A8" s="48" t="inlineStr">
        <is>
          <t>Onvida Health</t>
        </is>
      </c>
      <c r="B8" s="51" t="n">
        <v>1</v>
      </c>
      <c r="C8" s="81">
        <f>SUMIF('Assessment by Facility'!$B$2:$B$135,A8,'Assessment by Facility'!$G$2:$G$135)</f>
        <v/>
      </c>
      <c r="D8" s="81">
        <f>SUMIF('Assessment by Facility'!$B$2:$B$135,A8,'Assessment by Facility'!$J$2:$J$135)</f>
        <v/>
      </c>
      <c r="E8" s="79">
        <f>D8-C8</f>
        <v/>
      </c>
      <c r="F8" s="79">
        <f>D8*'Assessment Inputs'!$B$14</f>
        <v/>
      </c>
      <c r="G8" s="79">
        <f>C8*'Assessment Inputs'!$B$14</f>
        <v/>
      </c>
      <c r="H8" s="79">
        <f>F8-G8</f>
        <v/>
      </c>
      <c r="I8" s="79">
        <f>E8*('Assessment Inputs'!$B$3-'Assessment Inputs'!$B$4)/'Assessment Inputs'!$B$3</f>
        <v/>
      </c>
      <c r="J8" s="79">
        <f>F8*'Assessment Inputs'!$B$12</f>
        <v/>
      </c>
      <c r="K8" s="79">
        <f>H8*'Assessment Inputs'!$B$12</f>
        <v/>
      </c>
      <c r="L8" s="51" t="n"/>
    </row>
    <row r="9" ht="15" customHeight="1" s="44">
      <c r="A9" s="48" t="inlineStr">
        <is>
          <t>Valleywise Health</t>
        </is>
      </c>
      <c r="B9" s="51" t="n">
        <v>1</v>
      </c>
      <c r="C9" s="81">
        <f>SUMIF('Assessment by Facility'!$B$2:$B$135,A9,'Assessment by Facility'!$G$2:$G$135)</f>
        <v/>
      </c>
      <c r="D9" s="81">
        <f>SUMIF('Assessment by Facility'!$B$2:$B$135,A9,'Assessment by Facility'!$J$2:$J$135)</f>
        <v/>
      </c>
      <c r="E9" s="79">
        <f>D9-C9</f>
        <v/>
      </c>
      <c r="F9" s="79">
        <f>D9*'Assessment Inputs'!$B$14</f>
        <v/>
      </c>
      <c r="G9" s="79">
        <f>C9*'Assessment Inputs'!$B$14</f>
        <v/>
      </c>
      <c r="H9" s="79">
        <f>F9-G9</f>
        <v/>
      </c>
      <c r="I9" s="79">
        <f>E9*('Assessment Inputs'!$B$3-'Assessment Inputs'!$B$4)/'Assessment Inputs'!$B$3</f>
        <v/>
      </c>
      <c r="J9" s="79">
        <f>F9*'Assessment Inputs'!$B$12</f>
        <v/>
      </c>
      <c r="K9" s="79">
        <f>H9*'Assessment Inputs'!$B$12</f>
        <v/>
      </c>
      <c r="L9" s="51" t="n"/>
    </row>
    <row r="10" ht="15" customHeight="1" s="44">
      <c r="A10" s="48" t="inlineStr">
        <is>
          <t>Community Health Systems</t>
        </is>
      </c>
      <c r="B10" s="51" t="n">
        <v>5</v>
      </c>
      <c r="C10" s="81">
        <f>SUMIF('Assessment by Facility'!$B$2:$B$135,A10,'Assessment by Facility'!$G$2:$G$135)</f>
        <v/>
      </c>
      <c r="D10" s="81">
        <f>SUMIF('Assessment by Facility'!$B$2:$B$135,A10,'Assessment by Facility'!$J$2:$J$135)</f>
        <v/>
      </c>
      <c r="E10" s="79">
        <f>D10-C10</f>
        <v/>
      </c>
      <c r="F10" s="79">
        <f>D10*'Assessment Inputs'!$B$14</f>
        <v/>
      </c>
      <c r="G10" s="79">
        <f>C10*'Assessment Inputs'!$B$14</f>
        <v/>
      </c>
      <c r="H10" s="79">
        <f>F10-G10</f>
        <v/>
      </c>
      <c r="I10" s="79">
        <f>E10*('Assessment Inputs'!$B$3-'Assessment Inputs'!$B$4)/'Assessment Inputs'!$B$3</f>
        <v/>
      </c>
      <c r="J10" s="79">
        <f>F10*'Assessment Inputs'!$B$12</f>
        <v/>
      </c>
      <c r="K10" s="79">
        <f>H10*'Assessment Inputs'!$B$12</f>
        <v/>
      </c>
      <c r="L10" s="51" t="n"/>
    </row>
    <row r="11" ht="15" customHeight="1" s="44">
      <c r="A11" s="48" t="inlineStr">
        <is>
          <t>Phoenix Children's Hospital</t>
        </is>
      </c>
      <c r="B11" s="51" t="n">
        <v>1</v>
      </c>
      <c r="C11" s="81">
        <f>SUMIF('Assessment by Facility'!$B$2:$B$135,A11,'Assessment by Facility'!$G$2:$G$135)</f>
        <v/>
      </c>
      <c r="D11" s="81">
        <f>SUMIF('Assessment by Facility'!$B$2:$B$135,A11,'Assessment by Facility'!$J$2:$J$135)</f>
        <v/>
      </c>
      <c r="E11" s="79">
        <f>D11-C11</f>
        <v/>
      </c>
      <c r="F11" s="79">
        <f>D11*'Assessment Inputs'!$B$14</f>
        <v/>
      </c>
      <c r="G11" s="79">
        <f>C11*'Assessment Inputs'!$B$14</f>
        <v/>
      </c>
      <c r="H11" s="79">
        <f>F11-G11</f>
        <v/>
      </c>
      <c r="I11" s="79">
        <f>E11*('Assessment Inputs'!$B$3-'Assessment Inputs'!$B$4)/'Assessment Inputs'!$B$3</f>
        <v/>
      </c>
      <c r="J11" s="79">
        <f>F11*'Assessment Inputs'!$B$12</f>
        <v/>
      </c>
      <c r="K11" s="79">
        <f>H11*'Assessment Inputs'!$B$12</f>
        <v/>
      </c>
      <c r="L11" s="51" t="n"/>
    </row>
    <row r="12" ht="15" customHeight="1" s="44">
      <c r="A12" s="48" t="inlineStr">
        <is>
          <t>Lifepoint Health</t>
        </is>
      </c>
      <c r="B12" s="51" t="n">
        <v>7</v>
      </c>
      <c r="C12" s="81">
        <f>SUMIF('Assessment by Facility'!$B$2:$B$135,A12,'Assessment by Facility'!$G$2:$G$135)</f>
        <v/>
      </c>
      <c r="D12" s="81">
        <f>SUMIF('Assessment by Facility'!$B$2:$B$135,A12,'Assessment by Facility'!$J$2:$J$135)</f>
        <v/>
      </c>
      <c r="E12" s="79">
        <f>D12-C12</f>
        <v/>
      </c>
      <c r="F12" s="79">
        <f>D12*'Assessment Inputs'!$B$14</f>
        <v/>
      </c>
      <c r="G12" s="79">
        <f>C12*'Assessment Inputs'!$B$14</f>
        <v/>
      </c>
      <c r="H12" s="79">
        <f>F12-G12</f>
        <v/>
      </c>
      <c r="I12" s="79">
        <f>E12*('Assessment Inputs'!$B$3-'Assessment Inputs'!$B$4)/'Assessment Inputs'!$B$3</f>
        <v/>
      </c>
      <c r="J12" s="79">
        <f>F12*'Assessment Inputs'!$B$12</f>
        <v/>
      </c>
      <c r="K12" s="79">
        <f>H12*'Assessment Inputs'!$B$12</f>
        <v/>
      </c>
      <c r="L12" s="51" t="n"/>
    </row>
    <row r="13" ht="15" customHeight="1" s="44">
      <c r="A13" s="48" t="inlineStr">
        <is>
          <t>Northern Arizona</t>
        </is>
      </c>
      <c r="B13" s="51" t="n">
        <v>2</v>
      </c>
      <c r="C13" s="81">
        <f>SUMIF('Assessment by Facility'!$B$2:$B$135,A13,'Assessment by Facility'!$G$2:$G$135)</f>
        <v/>
      </c>
      <c r="D13" s="81">
        <f>SUMIF('Assessment by Facility'!$B$2:$B$135,A13,'Assessment by Facility'!$J$2:$J$135)</f>
        <v/>
      </c>
      <c r="E13" s="79">
        <f>D13-C13</f>
        <v/>
      </c>
      <c r="F13" s="79">
        <f>D13*'Assessment Inputs'!$B$14</f>
        <v/>
      </c>
      <c r="G13" s="79">
        <f>C13*'Assessment Inputs'!$B$14</f>
        <v/>
      </c>
      <c r="H13" s="79">
        <f>F13-G13</f>
        <v/>
      </c>
      <c r="I13" s="79">
        <f>E13*('Assessment Inputs'!$B$3-'Assessment Inputs'!$B$4)/'Assessment Inputs'!$B$3</f>
        <v/>
      </c>
      <c r="J13" s="79">
        <f>F13*'Assessment Inputs'!$B$12</f>
        <v/>
      </c>
      <c r="K13" s="79">
        <f>H13*'Assessment Inputs'!$B$12</f>
        <v/>
      </c>
      <c r="L13" s="51" t="n"/>
    </row>
    <row r="14" ht="15" customHeight="1" s="44">
      <c r="A14" s="48" t="inlineStr">
        <is>
          <t>Kingman Regional Medical Center</t>
        </is>
      </c>
      <c r="B14" s="51" t="n">
        <v>1</v>
      </c>
      <c r="C14" s="81">
        <f>SUMIF('Assessment by Facility'!$B$2:$B$135,A14,'Assessment by Facility'!$G$2:$G$135)</f>
        <v/>
      </c>
      <c r="D14" s="81">
        <f>SUMIF('Assessment by Facility'!$B$2:$B$135,A14,'Assessment by Facility'!$J$2:$J$135)</f>
        <v/>
      </c>
      <c r="E14" s="79">
        <f>D14-C14</f>
        <v/>
      </c>
      <c r="F14" s="79">
        <f>D14*'Assessment Inputs'!$B$14</f>
        <v/>
      </c>
      <c r="G14" s="79">
        <f>C14*'Assessment Inputs'!$B$14</f>
        <v/>
      </c>
      <c r="H14" s="79">
        <f>F14-G14</f>
        <v/>
      </c>
      <c r="I14" s="79">
        <f>E14*('Assessment Inputs'!$B$3-'Assessment Inputs'!$B$4)/'Assessment Inputs'!$B$3</f>
        <v/>
      </c>
      <c r="J14" s="79">
        <f>F14*'Assessment Inputs'!$B$12</f>
        <v/>
      </c>
      <c r="K14" s="79">
        <f>H14*'Assessment Inputs'!$B$12</f>
        <v/>
      </c>
      <c r="L14" s="51" t="n"/>
    </row>
    <row r="15" ht="15" customHeight="1" s="44">
      <c r="A15" s="48" t="inlineStr">
        <is>
          <t>Summit Healthcare</t>
        </is>
      </c>
      <c r="B15" s="51" t="n">
        <v>1</v>
      </c>
      <c r="C15" s="81">
        <f>SUMIF('Assessment by Facility'!$B$2:$B$135,A15,'Assessment by Facility'!$G$2:$G$135)</f>
        <v/>
      </c>
      <c r="D15" s="81">
        <f>SUMIF('Assessment by Facility'!$B$2:$B$135,A15,'Assessment by Facility'!$J$2:$J$135)</f>
        <v/>
      </c>
      <c r="E15" s="79">
        <f>D15-C15</f>
        <v/>
      </c>
      <c r="F15" s="79">
        <f>D15*'Assessment Inputs'!$B$14</f>
        <v/>
      </c>
      <c r="G15" s="79">
        <f>C15*'Assessment Inputs'!$B$14</f>
        <v/>
      </c>
      <c r="H15" s="79">
        <f>F15-G15</f>
        <v/>
      </c>
      <c r="I15" s="79">
        <f>E15*('Assessment Inputs'!$B$3-'Assessment Inputs'!$B$4)/'Assessment Inputs'!$B$3</f>
        <v/>
      </c>
      <c r="J15" s="79">
        <f>F15*'Assessment Inputs'!$B$12</f>
        <v/>
      </c>
      <c r="K15" s="79">
        <f>H15*'Assessment Inputs'!$B$12</f>
        <v/>
      </c>
      <c r="L15" s="51" t="n"/>
    </row>
    <row r="16" ht="15" customHeight="1" s="44">
      <c r="A16" s="48" t="inlineStr">
        <is>
          <t>Universal Health Services</t>
        </is>
      </c>
      <c r="B16" s="51" t="n">
        <v>4</v>
      </c>
      <c r="C16" s="81">
        <f>SUMIF('Assessment by Facility'!$B$2:$B$135,A16,'Assessment by Facility'!$G$2:$G$135)</f>
        <v/>
      </c>
      <c r="D16" s="81">
        <f>SUMIF('Assessment by Facility'!$B$2:$B$135,A16,'Assessment by Facility'!$J$2:$J$135)</f>
        <v/>
      </c>
      <c r="E16" s="79">
        <f>D16-C16</f>
        <v/>
      </c>
      <c r="F16" s="79">
        <f>D16*'Assessment Inputs'!$B$14</f>
        <v/>
      </c>
      <c r="G16" s="79">
        <f>C16*'Assessment Inputs'!$B$14</f>
        <v/>
      </c>
      <c r="H16" s="79">
        <f>F16-G16</f>
        <v/>
      </c>
      <c r="I16" s="79">
        <f>E16*('Assessment Inputs'!$B$3-'Assessment Inputs'!$B$4)/'Assessment Inputs'!$B$3</f>
        <v/>
      </c>
      <c r="J16" s="79">
        <f>F16*'Assessment Inputs'!$B$12</f>
        <v/>
      </c>
      <c r="K16" s="79">
        <f>H16*'Assessment Inputs'!$B$12</f>
        <v/>
      </c>
      <c r="L16" s="51" t="n"/>
    </row>
    <row r="17" ht="15" customHeight="1" s="44">
      <c r="A17" s="48" t="inlineStr">
        <is>
          <t>Aurora Behavioral Health System</t>
        </is>
      </c>
      <c r="B17" s="51" t="n">
        <v>2</v>
      </c>
      <c r="C17" s="81">
        <f>SUMIF('Assessment by Facility'!$B$2:$B$135,A17,'Assessment by Facility'!$G$2:$G$135)</f>
        <v/>
      </c>
      <c r="D17" s="81">
        <f>SUMIF('Assessment by Facility'!$B$2:$B$135,A17,'Assessment by Facility'!$J$2:$J$135)</f>
        <v/>
      </c>
      <c r="E17" s="79">
        <f>D17-C17</f>
        <v/>
      </c>
      <c r="F17" s="79">
        <f>D17*'Assessment Inputs'!$B$14</f>
        <v/>
      </c>
      <c r="G17" s="79">
        <f>C17*'Assessment Inputs'!$B$14</f>
        <v/>
      </c>
      <c r="H17" s="79">
        <f>F17-G17</f>
        <v/>
      </c>
      <c r="I17" s="79">
        <f>E17*('Assessment Inputs'!$B$3-'Assessment Inputs'!$B$4)/'Assessment Inputs'!$B$3</f>
        <v/>
      </c>
      <c r="J17" s="79">
        <f>F17*'Assessment Inputs'!$B$12</f>
        <v/>
      </c>
      <c r="K17" s="79">
        <f>H17*'Assessment Inputs'!$B$12</f>
        <v/>
      </c>
      <c r="L17" s="51" t="n"/>
    </row>
    <row r="18" ht="15" customHeight="1" s="44">
      <c r="A18" s="48" t="inlineStr">
        <is>
          <t>Acadia Healthcare</t>
        </is>
      </c>
      <c r="B18" s="51" t="n">
        <v>3</v>
      </c>
      <c r="C18" s="81">
        <f>SUMIF('Assessment by Facility'!$B$2:$B$135,A18,'Assessment by Facility'!$G$2:$G$135)</f>
        <v/>
      </c>
      <c r="D18" s="81">
        <f>SUMIF('Assessment by Facility'!$B$2:$B$135,A18,'Assessment by Facility'!$J$2:$J$135)</f>
        <v/>
      </c>
      <c r="E18" s="79">
        <f>D18-C18</f>
        <v/>
      </c>
      <c r="F18" s="79">
        <f>D18*'Assessment Inputs'!$B$14</f>
        <v/>
      </c>
      <c r="G18" s="79">
        <f>C18*'Assessment Inputs'!$B$14</f>
        <v/>
      </c>
      <c r="H18" s="79">
        <f>F18-G18</f>
        <v/>
      </c>
      <c r="I18" s="79">
        <f>E18*('Assessment Inputs'!$B$3-'Assessment Inputs'!$B$4)/'Assessment Inputs'!$B$3</f>
        <v/>
      </c>
      <c r="J18" s="79">
        <f>F18*'Assessment Inputs'!$B$12</f>
        <v/>
      </c>
      <c r="K18" s="79">
        <f>H18*'Assessment Inputs'!$B$12</f>
        <v/>
      </c>
      <c r="L18" s="51" t="n"/>
    </row>
    <row r="19" ht="15" customHeight="1" s="44">
      <c r="A19" s="48" t="inlineStr">
        <is>
          <t>Cobre Valley Regional Medical Center</t>
        </is>
      </c>
      <c r="B19" s="51" t="n">
        <v>1</v>
      </c>
      <c r="C19" s="81">
        <f>SUMIF('Assessment by Facility'!$B$2:$B$135,A19,'Assessment by Facility'!$G$2:$G$135)</f>
        <v/>
      </c>
      <c r="D19" s="81">
        <f>SUMIF('Assessment by Facility'!$B$2:$B$135,A19,'Assessment by Facility'!$J$2:$J$135)</f>
        <v/>
      </c>
      <c r="E19" s="79">
        <f>D19-C19</f>
        <v/>
      </c>
      <c r="F19" s="79">
        <f>D19*'Assessment Inputs'!$B$14</f>
        <v/>
      </c>
      <c r="G19" s="79">
        <f>C19*'Assessment Inputs'!$B$14</f>
        <v/>
      </c>
      <c r="H19" s="79">
        <f>F19-G19</f>
        <v/>
      </c>
      <c r="I19" s="79">
        <f>E19*('Assessment Inputs'!$B$3-'Assessment Inputs'!$B$4)/'Assessment Inputs'!$B$3</f>
        <v/>
      </c>
      <c r="J19" s="79">
        <f>F19*'Assessment Inputs'!$B$12</f>
        <v/>
      </c>
      <c r="K19" s="79">
        <f>H19*'Assessment Inputs'!$B$12</f>
        <v/>
      </c>
      <c r="L19" s="51" t="n"/>
    </row>
    <row r="20" ht="15" customHeight="1" s="44">
      <c r="A20" s="48" t="inlineStr">
        <is>
          <t>Tuba City Regional Health Care Corporation</t>
        </is>
      </c>
      <c r="B20" s="51" t="n">
        <v>1</v>
      </c>
      <c r="C20" s="81">
        <f>SUMIF('Assessment by Facility'!$B$2:$B$135,A20,'Assessment by Facility'!$G$2:$G$135)</f>
        <v/>
      </c>
      <c r="D20" s="81">
        <f>SUMIF('Assessment by Facility'!$B$2:$B$135,A20,'Assessment by Facility'!$J$2:$J$135)</f>
        <v/>
      </c>
      <c r="E20" s="79">
        <f>D20-C20</f>
        <v/>
      </c>
      <c r="F20" s="79">
        <f>D20*'Assessment Inputs'!$B$14</f>
        <v/>
      </c>
      <c r="G20" s="79">
        <f>C20*'Assessment Inputs'!$B$14</f>
        <v/>
      </c>
      <c r="H20" s="79">
        <f>F20-G20</f>
        <v/>
      </c>
      <c r="I20" s="79">
        <f>E20*('Assessment Inputs'!$B$3-'Assessment Inputs'!$B$4)/'Assessment Inputs'!$B$3</f>
        <v/>
      </c>
      <c r="J20" s="79">
        <f>F20*'Assessment Inputs'!$B$12</f>
        <v/>
      </c>
      <c r="K20" s="79">
        <f>H20*'Assessment Inputs'!$B$12</f>
        <v/>
      </c>
      <c r="L20" s="51" t="inlineStr">
        <is>
          <t>Yes</t>
        </is>
      </c>
    </row>
    <row r="21" ht="15" customHeight="1" s="44">
      <c r="A21" s="48" t="inlineStr">
        <is>
          <t>Mt. Graham Regional Medical Center</t>
        </is>
      </c>
      <c r="B21" s="51" t="n">
        <v>1</v>
      </c>
      <c r="C21" s="81">
        <f>SUMIF('Assessment by Facility'!$B$2:$B$135,A21,'Assessment by Facility'!$G$2:$G$135)</f>
        <v/>
      </c>
      <c r="D21" s="81">
        <f>SUMIF('Assessment by Facility'!$B$2:$B$135,A21,'Assessment by Facility'!$J$2:$J$135)</f>
        <v/>
      </c>
      <c r="E21" s="79">
        <f>D21-C21</f>
        <v/>
      </c>
      <c r="F21" s="79">
        <f>D21*'Assessment Inputs'!$B$14</f>
        <v/>
      </c>
      <c r="G21" s="79">
        <f>C21*'Assessment Inputs'!$B$14</f>
        <v/>
      </c>
      <c r="H21" s="79">
        <f>F21-G21</f>
        <v/>
      </c>
      <c r="I21" s="79">
        <f>E21*('Assessment Inputs'!$B$3-'Assessment Inputs'!$B$4)/'Assessment Inputs'!$B$3</f>
        <v/>
      </c>
      <c r="J21" s="79">
        <f>F21*'Assessment Inputs'!$B$12</f>
        <v/>
      </c>
      <c r="K21" s="79">
        <f>H21*'Assessment Inputs'!$B$12</f>
        <v/>
      </c>
      <c r="L21" s="51" t="n"/>
    </row>
    <row r="22" ht="15" customHeight="1" s="44">
      <c r="A22" s="48" t="inlineStr">
        <is>
          <t>Mayo</t>
        </is>
      </c>
      <c r="B22" s="51" t="n">
        <v>1</v>
      </c>
      <c r="C22" s="81">
        <f>SUMIF('Assessment by Facility'!$B$2:$B$135,A22,'Assessment by Facility'!$G$2:$G$135)</f>
        <v/>
      </c>
      <c r="D22" s="81">
        <f>SUMIF('Assessment by Facility'!$B$2:$B$135,A22,'Assessment by Facility'!$J$2:$J$135)</f>
        <v/>
      </c>
      <c r="E22" s="79">
        <f>D22-C22</f>
        <v/>
      </c>
      <c r="F22" s="79">
        <f>D22*'Assessment Inputs'!$B$14</f>
        <v/>
      </c>
      <c r="G22" s="79">
        <f>C22*'Assessment Inputs'!$B$14</f>
        <v/>
      </c>
      <c r="H22" s="79">
        <f>F22-G22</f>
        <v/>
      </c>
      <c r="I22" s="79">
        <f>E22*('Assessment Inputs'!$B$3-'Assessment Inputs'!$B$4)/'Assessment Inputs'!$B$3</f>
        <v/>
      </c>
      <c r="J22" s="79">
        <f>F22*'Assessment Inputs'!$B$12</f>
        <v/>
      </c>
      <c r="K22" s="79">
        <f>H22*'Assessment Inputs'!$B$12</f>
        <v/>
      </c>
      <c r="L22" s="51" t="n"/>
    </row>
    <row r="23" ht="15" customHeight="1" s="44">
      <c r="A23" s="48" t="inlineStr">
        <is>
          <t>Copper Queen Community Hospital</t>
        </is>
      </c>
      <c r="B23" s="51" t="n">
        <v>1</v>
      </c>
      <c r="C23" s="81">
        <f>SUMIF('Assessment by Facility'!$B$2:$B$135,A23,'Assessment by Facility'!$G$2:$G$135)</f>
        <v/>
      </c>
      <c r="D23" s="81">
        <f>SUMIF('Assessment by Facility'!$B$2:$B$135,A23,'Assessment by Facility'!$J$2:$J$135)</f>
        <v/>
      </c>
      <c r="E23" s="79">
        <f>D23-C23</f>
        <v/>
      </c>
      <c r="F23" s="79">
        <f>D23*'Assessment Inputs'!$B$14</f>
        <v/>
      </c>
      <c r="G23" s="79">
        <f>C23*'Assessment Inputs'!$B$14</f>
        <v/>
      </c>
      <c r="H23" s="79">
        <f>F23-G23</f>
        <v/>
      </c>
      <c r="I23" s="79">
        <f>E23*('Assessment Inputs'!$B$3-'Assessment Inputs'!$B$4)/'Assessment Inputs'!$B$3</f>
        <v/>
      </c>
      <c r="J23" s="79">
        <f>F23*'Assessment Inputs'!$B$12</f>
        <v/>
      </c>
      <c r="K23" s="79">
        <f>H23*'Assessment Inputs'!$B$12</f>
        <v/>
      </c>
      <c r="L23" s="51" t="n"/>
    </row>
    <row r="24" ht="15" customHeight="1" s="44">
      <c r="A24" s="48" t="inlineStr">
        <is>
          <t>Select Medical</t>
        </is>
      </c>
      <c r="B24" s="51" t="n">
        <v>5</v>
      </c>
      <c r="C24" s="81">
        <f>SUMIF('Assessment by Facility'!$B$2:$B$135,A24,'Assessment by Facility'!$G$2:$G$135)</f>
        <v/>
      </c>
      <c r="D24" s="81">
        <f>SUMIF('Assessment by Facility'!$B$2:$B$135,A24,'Assessment by Facility'!$J$2:$J$135)</f>
        <v/>
      </c>
      <c r="E24" s="79">
        <f>D24-C24</f>
        <v/>
      </c>
      <c r="F24" s="79">
        <f>D24*'Assessment Inputs'!$B$14</f>
        <v/>
      </c>
      <c r="G24" s="79">
        <f>C24*'Assessment Inputs'!$B$14</f>
        <v/>
      </c>
      <c r="H24" s="79">
        <f>F24-G24</f>
        <v/>
      </c>
      <c r="I24" s="79">
        <f>E24*('Assessment Inputs'!$B$3-'Assessment Inputs'!$B$4)/'Assessment Inputs'!$B$3</f>
        <v/>
      </c>
      <c r="J24" s="79">
        <f>F24*'Assessment Inputs'!$B$12</f>
        <v/>
      </c>
      <c r="K24" s="79">
        <f>H24*'Assessment Inputs'!$B$12</f>
        <v/>
      </c>
      <c r="L24" s="51" t="n"/>
    </row>
    <row r="25" ht="15" customHeight="1" s="44">
      <c r="A25" s="48" t="inlineStr">
        <is>
          <t>Little Colorado</t>
        </is>
      </c>
      <c r="B25" s="51" t="n">
        <v>1</v>
      </c>
      <c r="C25" s="81">
        <f>SUMIF('Assessment by Facility'!$B$2:$B$135,A25,'Assessment by Facility'!$G$2:$G$135)</f>
        <v/>
      </c>
      <c r="D25" s="81">
        <f>SUMIF('Assessment by Facility'!$B$2:$B$135,A25,'Assessment by Facility'!$J$2:$J$135)</f>
        <v/>
      </c>
      <c r="E25" s="79">
        <f>D25-C25</f>
        <v/>
      </c>
      <c r="F25" s="79">
        <f>D25*'Assessment Inputs'!$B$14</f>
        <v/>
      </c>
      <c r="G25" s="79">
        <f>C25*'Assessment Inputs'!$B$14</f>
        <v/>
      </c>
      <c r="H25" s="79">
        <f>F25-G25</f>
        <v/>
      </c>
      <c r="I25" s="79">
        <f>E25*('Assessment Inputs'!$B$3-'Assessment Inputs'!$B$4)/'Assessment Inputs'!$B$3</f>
        <v/>
      </c>
      <c r="J25" s="79">
        <f>F25*'Assessment Inputs'!$B$12</f>
        <v/>
      </c>
      <c r="K25" s="79">
        <f>H25*'Assessment Inputs'!$B$12</f>
        <v/>
      </c>
      <c r="L25" s="51" t="n"/>
    </row>
    <row r="26" ht="15" customHeight="1" s="44">
      <c r="A26" s="48" t="inlineStr">
        <is>
          <t>Encompass Health</t>
        </is>
      </c>
      <c r="B26" s="51" t="n">
        <v>6</v>
      </c>
      <c r="C26" s="81">
        <f>SUMIF('Assessment by Facility'!$B$2:$B$135,A26,'Assessment by Facility'!$G$2:$G$135)</f>
        <v/>
      </c>
      <c r="D26" s="81">
        <f>SUMIF('Assessment by Facility'!$B$2:$B$135,A26,'Assessment by Facility'!$J$2:$J$135)</f>
        <v/>
      </c>
      <c r="E26" s="79">
        <f>D26-C26</f>
        <v/>
      </c>
      <c r="F26" s="79">
        <f>D26*'Assessment Inputs'!$B$14</f>
        <v/>
      </c>
      <c r="G26" s="79">
        <f>C26*'Assessment Inputs'!$B$14</f>
        <v/>
      </c>
      <c r="H26" s="79">
        <f>F26-G26</f>
        <v/>
      </c>
      <c r="I26" s="79">
        <f>E26*('Assessment Inputs'!$B$3-'Assessment Inputs'!$B$4)/'Assessment Inputs'!$B$3</f>
        <v/>
      </c>
      <c r="J26" s="79">
        <f>F26*'Assessment Inputs'!$B$12</f>
        <v/>
      </c>
      <c r="K26" s="79">
        <f>H26*'Assessment Inputs'!$B$12</f>
        <v/>
      </c>
      <c r="L26" s="51" t="n"/>
    </row>
    <row r="27" ht="15" customHeight="1" s="44">
      <c r="A27" s="48" t="inlineStr">
        <is>
          <t>Destiny Springs Healthcare</t>
        </is>
      </c>
      <c r="B27" s="51" t="n">
        <v>1</v>
      </c>
      <c r="C27" s="81">
        <f>SUMIF('Assessment by Facility'!$B$2:$B$135,A27,'Assessment by Facility'!$G$2:$G$135)</f>
        <v/>
      </c>
      <c r="D27" s="81">
        <f>SUMIF('Assessment by Facility'!$B$2:$B$135,A27,'Assessment by Facility'!$J$2:$J$135)</f>
        <v/>
      </c>
      <c r="E27" s="79">
        <f>D27-C27</f>
        <v/>
      </c>
      <c r="F27" s="79">
        <f>D27*'Assessment Inputs'!$B$14</f>
        <v/>
      </c>
      <c r="G27" s="79">
        <f>C27*'Assessment Inputs'!$B$14</f>
        <v/>
      </c>
      <c r="H27" s="79">
        <f>F27-G27</f>
        <v/>
      </c>
      <c r="I27" s="79">
        <f>E27*('Assessment Inputs'!$B$3-'Assessment Inputs'!$B$4)/'Assessment Inputs'!$B$3</f>
        <v/>
      </c>
      <c r="J27" s="79">
        <f>F27*'Assessment Inputs'!$B$12</f>
        <v/>
      </c>
      <c r="K27" s="79">
        <f>H27*'Assessment Inputs'!$B$12</f>
        <v/>
      </c>
      <c r="L27" s="51" t="n"/>
    </row>
    <row r="28" ht="15" customHeight="1" s="44">
      <c r="A28" s="48" t="inlineStr">
        <is>
          <t>College Health Enterprises</t>
        </is>
      </c>
      <c r="B28" s="51" t="n">
        <v>1</v>
      </c>
      <c r="C28" s="81">
        <f>SUMIF('Assessment by Facility'!$B$2:$B$135,A28,'Assessment by Facility'!$G$2:$G$135)</f>
        <v/>
      </c>
      <c r="D28" s="81">
        <f>SUMIF('Assessment by Facility'!$B$2:$B$135,A28,'Assessment by Facility'!$J$2:$J$135)</f>
        <v/>
      </c>
      <c r="E28" s="79">
        <f>D28-C28</f>
        <v/>
      </c>
      <c r="F28" s="79">
        <f>D28*'Assessment Inputs'!$B$14</f>
        <v/>
      </c>
      <c r="G28" s="79">
        <f>C28*'Assessment Inputs'!$B$14</f>
        <v/>
      </c>
      <c r="H28" s="79">
        <f>F28-G28</f>
        <v/>
      </c>
      <c r="I28" s="79">
        <f>E28*('Assessment Inputs'!$B$3-'Assessment Inputs'!$B$4)/'Assessment Inputs'!$B$3</f>
        <v/>
      </c>
      <c r="J28" s="79">
        <f>F28*'Assessment Inputs'!$B$12</f>
        <v/>
      </c>
      <c r="K28" s="79">
        <f>H28*'Assessment Inputs'!$B$12</f>
        <v/>
      </c>
      <c r="L28" s="51" t="n"/>
    </row>
    <row r="29" ht="15" customHeight="1" s="44">
      <c r="A29" s="48" t="inlineStr">
        <is>
          <t>Haven Senior Horizons</t>
        </is>
      </c>
      <c r="B29" s="51" t="n">
        <v>1</v>
      </c>
      <c r="C29" s="81">
        <f>SUMIF('Assessment by Facility'!$B$2:$B$135,A29,'Assessment by Facility'!$G$2:$G$135)</f>
        <v/>
      </c>
      <c r="D29" s="81">
        <f>SUMIF('Assessment by Facility'!$B$2:$B$135,A29,'Assessment by Facility'!$J$2:$J$135)</f>
        <v/>
      </c>
      <c r="E29" s="79">
        <f>D29-C29</f>
        <v/>
      </c>
      <c r="F29" s="79">
        <f>D29*'Assessment Inputs'!$B$14</f>
        <v/>
      </c>
      <c r="G29" s="79">
        <f>C29*'Assessment Inputs'!$B$14</f>
        <v/>
      </c>
      <c r="H29" s="79">
        <f>F29-G29</f>
        <v/>
      </c>
      <c r="I29" s="79">
        <f>E29*('Assessment Inputs'!$B$3-'Assessment Inputs'!$B$4)/'Assessment Inputs'!$B$3</f>
        <v/>
      </c>
      <c r="J29" s="79">
        <f>F29*'Assessment Inputs'!$B$12</f>
        <v/>
      </c>
      <c r="K29" s="79">
        <f>H29*'Assessment Inputs'!$B$12</f>
        <v/>
      </c>
      <c r="L29" s="51" t="n"/>
    </row>
    <row r="30" ht="15" customHeight="1" s="44">
      <c r="A30" s="48" t="inlineStr">
        <is>
          <t>Surgical Specialty Hospital of Arizona</t>
        </is>
      </c>
      <c r="B30" s="51" t="n">
        <v>1</v>
      </c>
      <c r="C30" s="81">
        <f>SUMIF('Assessment by Facility'!$B$2:$B$135,A30,'Assessment by Facility'!$G$2:$G$135)</f>
        <v/>
      </c>
      <c r="D30" s="81">
        <f>SUMIF('Assessment by Facility'!$B$2:$B$135,A30,'Assessment by Facility'!$J$2:$J$135)</f>
        <v/>
      </c>
      <c r="E30" s="79">
        <f>D30-C30</f>
        <v/>
      </c>
      <c r="F30" s="79">
        <f>D30*'Assessment Inputs'!$B$14</f>
        <v/>
      </c>
      <c r="G30" s="79">
        <f>C30*'Assessment Inputs'!$B$14</f>
        <v/>
      </c>
      <c r="H30" s="79">
        <f>F30-G30</f>
        <v/>
      </c>
      <c r="I30" s="79">
        <f>E30*('Assessment Inputs'!$B$3-'Assessment Inputs'!$B$4)/'Assessment Inputs'!$B$3</f>
        <v/>
      </c>
      <c r="J30" s="79">
        <f>F30*'Assessment Inputs'!$B$12</f>
        <v/>
      </c>
      <c r="K30" s="79">
        <f>H30*'Assessment Inputs'!$B$12</f>
        <v/>
      </c>
      <c r="L30" s="51" t="n"/>
    </row>
    <row r="31" ht="15" customHeight="1" s="44">
      <c r="A31" s="48" t="inlineStr">
        <is>
          <t>La Paz Regional Hospital</t>
        </is>
      </c>
      <c r="B31" s="51" t="n">
        <v>1</v>
      </c>
      <c r="C31" s="81">
        <f>SUMIF('Assessment by Facility'!$B$2:$B$135,A31,'Assessment by Facility'!$G$2:$G$135)</f>
        <v/>
      </c>
      <c r="D31" s="81">
        <f>SUMIF('Assessment by Facility'!$B$2:$B$135,A31,'Assessment by Facility'!$J$2:$J$135)</f>
        <v/>
      </c>
      <c r="E31" s="79">
        <f>D31-C31</f>
        <v/>
      </c>
      <c r="F31" s="79">
        <f>D31*'Assessment Inputs'!$B$14</f>
        <v/>
      </c>
      <c r="G31" s="79">
        <f>C31*'Assessment Inputs'!$B$14</f>
        <v/>
      </c>
      <c r="H31" s="79">
        <f>F31-G31</f>
        <v/>
      </c>
      <c r="I31" s="79">
        <f>E31*('Assessment Inputs'!$B$3-'Assessment Inputs'!$B$4)/'Assessment Inputs'!$B$3</f>
        <v/>
      </c>
      <c r="J31" s="79">
        <f>F31*'Assessment Inputs'!$B$12</f>
        <v/>
      </c>
      <c r="K31" s="79">
        <f>H31*'Assessment Inputs'!$B$12</f>
        <v/>
      </c>
      <c r="L31" s="51" t="n"/>
    </row>
    <row r="32" ht="15" customHeight="1" s="44">
      <c r="A32" s="48" t="inlineStr">
        <is>
          <t>NeuroPsychiatric Hospitals</t>
        </is>
      </c>
      <c r="B32" s="51" t="n">
        <v>1</v>
      </c>
      <c r="C32" s="81">
        <f>SUMIF('Assessment by Facility'!$B$2:$B$135,A32,'Assessment by Facility'!$G$2:$G$135)</f>
        <v/>
      </c>
      <c r="D32" s="81">
        <f>SUMIF('Assessment by Facility'!$B$2:$B$135,A32,'Assessment by Facility'!$J$2:$J$135)</f>
        <v/>
      </c>
      <c r="E32" s="79">
        <f>D32-C32</f>
        <v/>
      </c>
      <c r="F32" s="79">
        <f>D32*'Assessment Inputs'!$B$14</f>
        <v/>
      </c>
      <c r="G32" s="79">
        <f>C32*'Assessment Inputs'!$B$14</f>
        <v/>
      </c>
      <c r="H32" s="79">
        <f>F32-G32</f>
        <v/>
      </c>
      <c r="I32" s="79">
        <f>E32*('Assessment Inputs'!$B$3-'Assessment Inputs'!$B$4)/'Assessment Inputs'!$B$3</f>
        <v/>
      </c>
      <c r="J32" s="79">
        <f>F32*'Assessment Inputs'!$B$12</f>
        <v/>
      </c>
      <c r="K32" s="79">
        <f>H32*'Assessment Inputs'!$B$12</f>
        <v/>
      </c>
      <c r="L32" s="51" t="n"/>
    </row>
    <row r="33" ht="15" customHeight="1" s="44">
      <c r="A33" s="48" t="inlineStr">
        <is>
          <t>Wickenburg Community Hospital</t>
        </is>
      </c>
      <c r="B33" s="51" t="n">
        <v>1</v>
      </c>
      <c r="C33" s="81">
        <f>SUMIF('Assessment by Facility'!$B$2:$B$135,A33,'Assessment by Facility'!$G$2:$G$135)</f>
        <v/>
      </c>
      <c r="D33" s="81">
        <f>SUMIF('Assessment by Facility'!$B$2:$B$135,A33,'Assessment by Facility'!$J$2:$J$135)</f>
        <v/>
      </c>
      <c r="E33" s="79">
        <f>D33-C33</f>
        <v/>
      </c>
      <c r="F33" s="79">
        <f>D33*'Assessment Inputs'!$B$14</f>
        <v/>
      </c>
      <c r="G33" s="79">
        <f>C33*'Assessment Inputs'!$B$14</f>
        <v/>
      </c>
      <c r="H33" s="79">
        <f>F33-G33</f>
        <v/>
      </c>
      <c r="I33" s="79">
        <f>E33*('Assessment Inputs'!$B$3-'Assessment Inputs'!$B$4)/'Assessment Inputs'!$B$3</f>
        <v/>
      </c>
      <c r="J33" s="79">
        <f>F33*'Assessment Inputs'!$B$12</f>
        <v/>
      </c>
      <c r="K33" s="79">
        <f>H33*'Assessment Inputs'!$B$12</f>
        <v/>
      </c>
      <c r="L33" s="51" t="n"/>
    </row>
    <row r="34" ht="15" customHeight="1" s="44">
      <c r="A34" s="48" t="inlineStr">
        <is>
          <t>Avenir</t>
        </is>
      </c>
      <c r="B34" s="51" t="n">
        <v>1</v>
      </c>
      <c r="C34" s="81">
        <f>SUMIF('Assessment by Facility'!$B$2:$B$135,A34,'Assessment by Facility'!$G$2:$G$135)</f>
        <v/>
      </c>
      <c r="D34" s="81">
        <f>SUMIF('Assessment by Facility'!$B$2:$B$135,A34,'Assessment by Facility'!$J$2:$J$135)</f>
        <v/>
      </c>
      <c r="E34" s="79">
        <f>D34-C34</f>
        <v/>
      </c>
      <c r="F34" s="79">
        <f>D34*'Assessment Inputs'!$B$14</f>
        <v/>
      </c>
      <c r="G34" s="79">
        <f>C34*'Assessment Inputs'!$B$14</f>
        <v/>
      </c>
      <c r="H34" s="79">
        <f>F34-G34</f>
        <v/>
      </c>
      <c r="I34" s="79">
        <f>E34*('Assessment Inputs'!$B$3-'Assessment Inputs'!$B$4)/'Assessment Inputs'!$B$3</f>
        <v/>
      </c>
      <c r="J34" s="79">
        <f>F34*'Assessment Inputs'!$B$12</f>
        <v/>
      </c>
      <c r="K34" s="79">
        <f>H34*'Assessment Inputs'!$B$12</f>
        <v/>
      </c>
      <c r="L34" s="51" t="n"/>
    </row>
    <row r="35" ht="15" customHeight="1" s="44">
      <c r="A35" s="48" t="inlineStr">
        <is>
          <t>White Mountain Regional Medical Center</t>
        </is>
      </c>
      <c r="B35" s="51" t="n">
        <v>1</v>
      </c>
      <c r="C35" s="81">
        <f>SUMIF('Assessment by Facility'!$B$2:$B$135,A35,'Assessment by Facility'!$G$2:$G$135)</f>
        <v/>
      </c>
      <c r="D35" s="81">
        <f>SUMIF('Assessment by Facility'!$B$2:$B$135,A35,'Assessment by Facility'!$J$2:$J$135)</f>
        <v/>
      </c>
      <c r="E35" s="79">
        <f>D35-C35</f>
        <v/>
      </c>
      <c r="F35" s="79">
        <f>D35*'Assessment Inputs'!$B$14</f>
        <v/>
      </c>
      <c r="G35" s="79">
        <f>C35*'Assessment Inputs'!$B$14</f>
        <v/>
      </c>
      <c r="H35" s="79">
        <f>F35-G35</f>
        <v/>
      </c>
      <c r="I35" s="79">
        <f>E35*('Assessment Inputs'!$B$3-'Assessment Inputs'!$B$4)/'Assessment Inputs'!$B$3</f>
        <v/>
      </c>
      <c r="J35" s="79">
        <f>F35*'Assessment Inputs'!$B$12</f>
        <v/>
      </c>
      <c r="K35" s="79">
        <f>H35*'Assessment Inputs'!$B$12</f>
        <v/>
      </c>
      <c r="L35" s="51" t="n"/>
    </row>
    <row r="36" ht="15" customHeight="1" s="44">
      <c r="A36" s="48" t="inlineStr">
        <is>
          <t>Exceptional Healthcare</t>
        </is>
      </c>
      <c r="B36" s="51" t="n">
        <v>3</v>
      </c>
      <c r="C36" s="81">
        <f>SUMIF('Assessment by Facility'!$B$2:$B$135,A36,'Assessment by Facility'!$G$2:$G$135)</f>
        <v/>
      </c>
      <c r="D36" s="81">
        <f>SUMIF('Assessment by Facility'!$B$2:$B$135,A36,'Assessment by Facility'!$J$2:$J$135)</f>
        <v/>
      </c>
      <c r="E36" s="79">
        <f>D36-C36</f>
        <v/>
      </c>
      <c r="F36" s="79">
        <f>D36*'Assessment Inputs'!$B$14</f>
        <v/>
      </c>
      <c r="G36" s="79">
        <f>C36*'Assessment Inputs'!$B$14</f>
        <v/>
      </c>
      <c r="H36" s="79">
        <f>F36-G36</f>
        <v/>
      </c>
      <c r="I36" s="79">
        <f>E36*('Assessment Inputs'!$B$3-'Assessment Inputs'!$B$4)/'Assessment Inputs'!$B$3</f>
        <v/>
      </c>
      <c r="J36" s="79">
        <f>F36*'Assessment Inputs'!$B$12</f>
        <v/>
      </c>
      <c r="K36" s="79">
        <f>H36*'Assessment Inputs'!$B$12</f>
        <v/>
      </c>
      <c r="L36" s="51" t="n"/>
    </row>
    <row r="37" ht="15" customHeight="1" s="44">
      <c r="A37" s="48" t="inlineStr">
        <is>
          <t>Reunion Rehabilitation Hospitals</t>
        </is>
      </c>
      <c r="B37" s="51" t="n">
        <v>2</v>
      </c>
      <c r="C37" s="81">
        <f>SUMIF('Assessment by Facility'!$B$2:$B$135,A37,'Assessment by Facility'!$G$2:$G$135)</f>
        <v/>
      </c>
      <c r="D37" s="81">
        <f>SUMIF('Assessment by Facility'!$B$2:$B$135,A37,'Assessment by Facility'!$J$2:$J$135)</f>
        <v/>
      </c>
      <c r="E37" s="79">
        <f>D37-C37</f>
        <v/>
      </c>
      <c r="F37" s="79">
        <f>D37*'Assessment Inputs'!$B$14</f>
        <v/>
      </c>
      <c r="G37" s="79">
        <f>C37*'Assessment Inputs'!$B$14</f>
        <v/>
      </c>
      <c r="H37" s="79">
        <f>F37-G37</f>
        <v/>
      </c>
      <c r="I37" s="79">
        <f>E37*('Assessment Inputs'!$B$3-'Assessment Inputs'!$B$4)/'Assessment Inputs'!$B$3</f>
        <v/>
      </c>
      <c r="J37" s="79">
        <f>F37*'Assessment Inputs'!$B$12</f>
        <v/>
      </c>
      <c r="K37" s="79">
        <f>H37*'Assessment Inputs'!$B$12</f>
        <v/>
      </c>
      <c r="L37" s="51" t="n"/>
    </row>
    <row r="38" ht="15" customHeight="1" s="44">
      <c r="A38" s="48" t="inlineStr">
        <is>
          <t>City of Hope</t>
        </is>
      </c>
      <c r="B38" s="51" t="n">
        <v>1</v>
      </c>
      <c r="C38" s="81">
        <f>SUMIF('Assessment by Facility'!$B$2:$B$135,A38,'Assessment by Facility'!$G$2:$G$135)</f>
        <v/>
      </c>
      <c r="D38" s="81">
        <f>SUMIF('Assessment by Facility'!$B$2:$B$135,A38,'Assessment by Facility'!$J$2:$J$135)</f>
        <v/>
      </c>
      <c r="E38" s="79">
        <f>D38-C38</f>
        <v/>
      </c>
      <c r="F38" s="79">
        <f>D38*'Assessment Inputs'!$B$14</f>
        <v/>
      </c>
      <c r="G38" s="79">
        <f>C38*'Assessment Inputs'!$B$14</f>
        <v/>
      </c>
      <c r="H38" s="79">
        <f>F38-G38</f>
        <v/>
      </c>
      <c r="I38" s="79">
        <f>E38*('Assessment Inputs'!$B$3-'Assessment Inputs'!$B$4)/'Assessment Inputs'!$B$3</f>
        <v/>
      </c>
      <c r="J38" s="79">
        <f>F38*'Assessment Inputs'!$B$12</f>
        <v/>
      </c>
      <c r="K38" s="79">
        <f>H38*'Assessment Inputs'!$B$12</f>
        <v/>
      </c>
      <c r="L38" s="51" t="n"/>
    </row>
    <row r="39" ht="15" customHeight="1" s="44">
      <c r="A39" s="48" t="inlineStr">
        <is>
          <t>United Surgical Partners</t>
        </is>
      </c>
      <c r="B39" s="51" t="n">
        <v>3</v>
      </c>
      <c r="C39" s="81">
        <f>SUMIF('Assessment by Facility'!$B$2:$B$135,A39,'Assessment by Facility'!$G$2:$G$135)</f>
        <v/>
      </c>
      <c r="D39" s="81">
        <f>SUMIF('Assessment by Facility'!$B$2:$B$135,A39,'Assessment by Facility'!$J$2:$J$135)</f>
        <v/>
      </c>
      <c r="E39" s="79">
        <f>D39-C39</f>
        <v/>
      </c>
      <c r="F39" s="79">
        <f>D39*'Assessment Inputs'!$B$14</f>
        <v/>
      </c>
      <c r="G39" s="79">
        <f>C39*'Assessment Inputs'!$B$14</f>
        <v/>
      </c>
      <c r="H39" s="79">
        <f>F39-G39</f>
        <v/>
      </c>
      <c r="I39" s="79">
        <f>E39*('Assessment Inputs'!$B$3-'Assessment Inputs'!$B$4)/'Assessment Inputs'!$B$3</f>
        <v/>
      </c>
      <c r="J39" s="79">
        <f>F39*'Assessment Inputs'!$B$12</f>
        <v/>
      </c>
      <c r="K39" s="79">
        <f>H39*'Assessment Inputs'!$B$12</f>
        <v/>
      </c>
      <c r="L39" s="51" t="n"/>
    </row>
    <row r="40" ht="15" customHeight="1" s="44">
      <c r="A40" s="48" t="inlineStr">
        <is>
          <t>Ernest Health, Inc.</t>
        </is>
      </c>
      <c r="B40" s="51" t="n">
        <v>2</v>
      </c>
      <c r="C40" s="81">
        <f>SUMIF('Assessment by Facility'!$B$2:$B$135,A40,'Assessment by Facility'!$G$2:$G$135)</f>
        <v/>
      </c>
      <c r="D40" s="81">
        <f>SUMIF('Assessment by Facility'!$B$2:$B$135,A40,'Assessment by Facility'!$J$2:$J$135)</f>
        <v/>
      </c>
      <c r="E40" s="79">
        <f>D40-C40</f>
        <v/>
      </c>
      <c r="F40" s="79">
        <f>D40*'Assessment Inputs'!$B$14</f>
        <v/>
      </c>
      <c r="G40" s="79">
        <f>C40*'Assessment Inputs'!$B$14</f>
        <v/>
      </c>
      <c r="H40" s="79">
        <f>F40-G40</f>
        <v/>
      </c>
      <c r="I40" s="79">
        <f>E40*('Assessment Inputs'!$B$3-'Assessment Inputs'!$B$4)/'Assessment Inputs'!$B$3</f>
        <v/>
      </c>
      <c r="J40" s="79">
        <f>F40*'Assessment Inputs'!$B$12</f>
        <v/>
      </c>
      <c r="K40" s="79">
        <f>H40*'Assessment Inputs'!$B$12</f>
        <v/>
      </c>
      <c r="L40" s="51" t="n"/>
    </row>
    <row r="41" ht="15" customHeight="1" s="44">
      <c r="A41" s="48" t="inlineStr">
        <is>
          <t>Polara Health</t>
        </is>
      </c>
      <c r="B41" s="51" t="n">
        <v>1</v>
      </c>
      <c r="C41" s="81">
        <f>SUMIF('Assessment by Facility'!$B$2:$B$135,A41,'Assessment by Facility'!$G$2:$G$135)</f>
        <v/>
      </c>
      <c r="D41" s="81">
        <f>SUMIF('Assessment by Facility'!$B$2:$B$135,A41,'Assessment by Facility'!$J$2:$J$135)</f>
        <v/>
      </c>
      <c r="E41" s="79">
        <f>D41-C41</f>
        <v/>
      </c>
      <c r="F41" s="79">
        <f>D41*'Assessment Inputs'!$B$14</f>
        <v/>
      </c>
      <c r="G41" s="79">
        <f>C41*'Assessment Inputs'!$B$14</f>
        <v/>
      </c>
      <c r="H41" s="79">
        <f>F41-G41</f>
        <v/>
      </c>
      <c r="I41" s="79">
        <f>E41*('Assessment Inputs'!$B$3-'Assessment Inputs'!$B$4)/'Assessment Inputs'!$B$3</f>
        <v/>
      </c>
      <c r="J41" s="79">
        <f>F41*'Assessment Inputs'!$B$12</f>
        <v/>
      </c>
      <c r="K41" s="79">
        <f>H41*'Assessment Inputs'!$B$12</f>
        <v/>
      </c>
      <c r="L41" s="51" t="n"/>
    </row>
    <row r="42" ht="15" customHeight="1" s="44">
      <c r="A42" s="48" t="inlineStr">
        <is>
          <t>Changepoint Integrated Health Centers</t>
        </is>
      </c>
      <c r="B42" s="51" t="n">
        <v>1</v>
      </c>
      <c r="C42" s="81">
        <f>SUMIF('Assessment by Facility'!$B$2:$B$135,A42,'Assessment by Facility'!$G$2:$G$135)</f>
        <v/>
      </c>
      <c r="D42" s="81">
        <f>SUMIF('Assessment by Facility'!$B$2:$B$135,A42,'Assessment by Facility'!$J$2:$J$135)</f>
        <v/>
      </c>
      <c r="E42" s="79">
        <f>D42-C42</f>
        <v/>
      </c>
      <c r="F42" s="79">
        <f>D42*'Assessment Inputs'!$B$14</f>
        <v/>
      </c>
      <c r="G42" s="79">
        <f>C42*'Assessment Inputs'!$B$14</f>
        <v/>
      </c>
      <c r="H42" s="79">
        <f>F42-G42</f>
        <v/>
      </c>
      <c r="I42" s="79">
        <f>E42*('Assessment Inputs'!$B$3-'Assessment Inputs'!$B$4)/'Assessment Inputs'!$B$3</f>
        <v/>
      </c>
      <c r="J42" s="79">
        <f>F42*'Assessment Inputs'!$B$12</f>
        <v/>
      </c>
      <c r="K42" s="79">
        <f>H42*'Assessment Inputs'!$B$12</f>
        <v/>
      </c>
      <c r="L42" s="51" t="n"/>
    </row>
    <row r="43" ht="15" customHeight="1" s="44">
      <c r="A43" s="48" t="inlineStr">
        <is>
          <t>The Guidance Center, Inc.</t>
        </is>
      </c>
      <c r="B43" s="51" t="n">
        <v>1</v>
      </c>
      <c r="C43" s="81">
        <f>SUMIF('Assessment by Facility'!$B$2:$B$135,A43,'Assessment by Facility'!$G$2:$G$135)</f>
        <v/>
      </c>
      <c r="D43" s="81">
        <f>SUMIF('Assessment by Facility'!$B$2:$B$135,A43,'Assessment by Facility'!$J$2:$J$135)</f>
        <v/>
      </c>
      <c r="E43" s="79">
        <f>D43-C43</f>
        <v/>
      </c>
      <c r="F43" s="79">
        <f>D43*'Assessment Inputs'!$B$14</f>
        <v/>
      </c>
      <c r="G43" s="79">
        <f>C43*'Assessment Inputs'!$B$14</f>
        <v/>
      </c>
      <c r="H43" s="79">
        <f>F43-G43</f>
        <v/>
      </c>
      <c r="I43" s="79">
        <f>E43*('Assessment Inputs'!$B$3-'Assessment Inputs'!$B$4)/'Assessment Inputs'!$B$3</f>
        <v/>
      </c>
      <c r="J43" s="79">
        <f>F43*'Assessment Inputs'!$B$12</f>
        <v/>
      </c>
      <c r="K43" s="79">
        <f>H43*'Assessment Inputs'!$B$12</f>
        <v/>
      </c>
      <c r="L43" s="51" t="n"/>
    </row>
    <row r="44" ht="15" customHeight="1" s="44">
      <c r="A44" s="48" t="inlineStr">
        <is>
          <t>Cornerstone Healthcare Group</t>
        </is>
      </c>
      <c r="B44" s="51" t="n">
        <v>1</v>
      </c>
      <c r="C44" s="81">
        <f>SUMIF('Assessment by Facility'!$B$2:$B$135,A44,'Assessment by Facility'!$G$2:$G$135)</f>
        <v/>
      </c>
      <c r="D44" s="81">
        <f>SUMIF('Assessment by Facility'!$B$2:$B$135,A44,'Assessment by Facility'!$J$2:$J$135)</f>
        <v/>
      </c>
      <c r="E44" s="79">
        <f>D44-C44</f>
        <v/>
      </c>
      <c r="F44" s="79">
        <f>D44*'Assessment Inputs'!$B$14</f>
        <v/>
      </c>
      <c r="G44" s="79">
        <f>C44*'Assessment Inputs'!$B$14</f>
        <v/>
      </c>
      <c r="H44" s="79">
        <f>F44-G44</f>
        <v/>
      </c>
      <c r="I44" s="79">
        <f>E44*('Assessment Inputs'!$B$3-'Assessment Inputs'!$B$4)/'Assessment Inputs'!$B$3</f>
        <v/>
      </c>
      <c r="J44" s="79">
        <f>F44*'Assessment Inputs'!$B$12</f>
        <v/>
      </c>
      <c r="K44" s="79">
        <f>H44*'Assessment Inputs'!$B$12</f>
        <v/>
      </c>
      <c r="L44" s="51" t="n"/>
    </row>
    <row r="45" ht="15" customHeight="1" s="44">
      <c r="A45" s="48" t="inlineStr">
        <is>
          <t>American Advanced Management, Inc.</t>
        </is>
      </c>
      <c r="B45" s="51" t="n">
        <v>1</v>
      </c>
      <c r="C45" s="81">
        <f>SUMIF('Assessment by Facility'!$B$2:$B$135,A45,'Assessment by Facility'!$G$2:$G$135)</f>
        <v/>
      </c>
      <c r="D45" s="81">
        <f>SUMIF('Assessment by Facility'!$B$2:$B$135,A45,'Assessment by Facility'!$J$2:$J$135)</f>
        <v/>
      </c>
      <c r="E45" s="79">
        <f>D45-C45</f>
        <v/>
      </c>
      <c r="F45" s="79">
        <f>D45*'Assessment Inputs'!$B$14</f>
        <v/>
      </c>
      <c r="G45" s="79">
        <f>C45*'Assessment Inputs'!$B$14</f>
        <v/>
      </c>
      <c r="H45" s="79">
        <f>F45-G45</f>
        <v/>
      </c>
      <c r="I45" s="79">
        <f>E45*('Assessment Inputs'!$B$3-'Assessment Inputs'!$B$4)/'Assessment Inputs'!$B$3</f>
        <v/>
      </c>
      <c r="J45" s="79">
        <f>F45*'Assessment Inputs'!$B$12</f>
        <v/>
      </c>
      <c r="K45" s="79">
        <f>H45*'Assessment Inputs'!$B$12</f>
        <v/>
      </c>
      <c r="L45" s="51" t="n"/>
    </row>
    <row r="46" ht="15" customHeight="1" s="44">
      <c r="A46" s="48" t="inlineStr">
        <is>
          <t>ClearSky Health</t>
        </is>
      </c>
      <c r="B46" s="51" t="n">
        <v>1</v>
      </c>
      <c r="C46" s="81">
        <f>SUMIF('Assessment by Facility'!$B$2:$B$135,A46,'Assessment by Facility'!$G$2:$G$135)</f>
        <v/>
      </c>
      <c r="D46" s="81">
        <f>SUMIF('Assessment by Facility'!$B$2:$B$135,A46,'Assessment by Facility'!$J$2:$J$135)</f>
        <v/>
      </c>
      <c r="E46" s="79">
        <f>D46-C46</f>
        <v/>
      </c>
      <c r="F46" s="79">
        <f>D46*'Assessment Inputs'!$B$14</f>
        <v/>
      </c>
      <c r="G46" s="79">
        <f>C46*'Assessment Inputs'!$B$14</f>
        <v/>
      </c>
      <c r="H46" s="79">
        <f>F46-G46</f>
        <v/>
      </c>
      <c r="I46" s="79">
        <f>E46*('Assessment Inputs'!$B$3-'Assessment Inputs'!$B$4)/'Assessment Inputs'!$B$3</f>
        <v/>
      </c>
      <c r="J46" s="79">
        <f>F46*'Assessment Inputs'!$B$12</f>
        <v/>
      </c>
      <c r="K46" s="79">
        <f>H46*'Assessment Inputs'!$B$12</f>
        <v/>
      </c>
      <c r="L46" s="51" t="n"/>
    </row>
    <row r="47" ht="15" customHeight="1" s="44">
      <c r="A47" s="48" t="inlineStr">
        <is>
          <t>Pam Health</t>
        </is>
      </c>
      <c r="B47" s="51" t="n">
        <v>1</v>
      </c>
      <c r="C47" s="81">
        <f>SUMIF('Assessment by Facility'!$B$2:$B$135,A47,'Assessment by Facility'!$G$2:$G$135)</f>
        <v/>
      </c>
      <c r="D47" s="81">
        <f>SUMIF('Assessment by Facility'!$B$2:$B$135,A47,'Assessment by Facility'!$J$2:$J$135)</f>
        <v/>
      </c>
      <c r="E47" s="79">
        <f>D47-C47</f>
        <v/>
      </c>
      <c r="F47" s="79">
        <f>D47*'Assessment Inputs'!$B$14</f>
        <v/>
      </c>
      <c r="G47" s="79">
        <f>C47*'Assessment Inputs'!$B$14</f>
        <v/>
      </c>
      <c r="H47" s="79">
        <f>F47-G47</f>
        <v/>
      </c>
      <c r="I47" s="79">
        <f>E47*('Assessment Inputs'!$B$3-'Assessment Inputs'!$B$4)/'Assessment Inputs'!$B$3</f>
        <v/>
      </c>
      <c r="J47" s="79">
        <f>F47*'Assessment Inputs'!$B$12</f>
        <v/>
      </c>
      <c r="K47" s="79">
        <f>H47*'Assessment Inputs'!$B$12</f>
        <v/>
      </c>
      <c r="L47" s="51" t="n"/>
    </row>
    <row r="48" ht="15" customHeight="1" s="44">
      <c r="A48" s="48" t="inlineStr">
        <is>
          <t>Nutex Health</t>
        </is>
      </c>
      <c r="B48" s="51" t="n">
        <v>1</v>
      </c>
      <c r="C48" s="81">
        <f>SUMIF('Assessment by Facility'!$B$2:$B$135,A48,'Assessment by Facility'!$G$2:$G$135)</f>
        <v/>
      </c>
      <c r="D48" s="81">
        <f>SUMIF('Assessment by Facility'!$B$2:$B$135,A48,'Assessment by Facility'!$J$2:$J$135)</f>
        <v/>
      </c>
      <c r="E48" s="79">
        <f>D48-C48</f>
        <v/>
      </c>
      <c r="F48" s="79">
        <f>D48*'Assessment Inputs'!$B$14</f>
        <v/>
      </c>
      <c r="G48" s="79">
        <f>C48*'Assessment Inputs'!$B$14</f>
        <v/>
      </c>
      <c r="H48" s="79">
        <f>F48-G48</f>
        <v/>
      </c>
      <c r="I48" s="79">
        <f>E48*('Assessment Inputs'!$B$3-'Assessment Inputs'!$B$4)/'Assessment Inputs'!$B$3</f>
        <v/>
      </c>
      <c r="J48" s="79">
        <f>F48*'Assessment Inputs'!$B$12</f>
        <v/>
      </c>
      <c r="K48" s="79">
        <f>H48*'Assessment Inputs'!$B$12</f>
        <v/>
      </c>
      <c r="L48" s="51" t="n"/>
    </row>
    <row r="49" ht="15" customHeight="1" s="44">
      <c r="A49" s="48" t="inlineStr">
        <is>
          <t>State of Arizona</t>
        </is>
      </c>
      <c r="B49" s="51" t="n">
        <v>1</v>
      </c>
      <c r="C49" s="81">
        <f>SUMIF('Assessment by Facility'!$B$2:$B$135,A49,'Assessment by Facility'!$G$2:$G$135)</f>
        <v/>
      </c>
      <c r="D49" s="81">
        <f>SUMIF('Assessment by Facility'!$B$2:$B$135,A49,'Assessment by Facility'!$J$2:$J$135)</f>
        <v/>
      </c>
      <c r="E49" s="79">
        <f>D49-C49</f>
        <v/>
      </c>
      <c r="F49" s="79">
        <f>D49*'Assessment Inputs'!$B$14</f>
        <v/>
      </c>
      <c r="G49" s="79">
        <f>C49*'Assessment Inputs'!$B$14</f>
        <v/>
      </c>
      <c r="H49" s="79">
        <f>F49-G49</f>
        <v/>
      </c>
      <c r="I49" s="79">
        <f>E49*('Assessment Inputs'!$B$3-'Assessment Inputs'!$B$4)/'Assessment Inputs'!$B$3</f>
        <v/>
      </c>
      <c r="J49" s="79">
        <f>F49*'Assessment Inputs'!$B$12</f>
        <v/>
      </c>
      <c r="K49" s="79">
        <f>H49*'Assessment Inputs'!$B$12</f>
        <v/>
      </c>
      <c r="L49" s="51" t="n"/>
    </row>
    <row r="50" ht="15" customHeight="1" s="44">
      <c r="A50" s="48" t="inlineStr">
        <is>
          <t>Curahealth</t>
        </is>
      </c>
      <c r="B50" s="51" t="n">
        <v>1</v>
      </c>
      <c r="C50" s="81">
        <f>SUMIF('Assessment by Facility'!$B$2:$B$135,A50,'Assessment by Facility'!$G$2:$G$135)</f>
        <v/>
      </c>
      <c r="D50" s="81">
        <f>SUMIF('Assessment by Facility'!$B$2:$B$135,A50,'Assessment by Facility'!$J$2:$J$135)</f>
        <v/>
      </c>
      <c r="E50" s="79">
        <f>D50-C50</f>
        <v/>
      </c>
      <c r="F50" s="79">
        <f>D50*'Assessment Inputs'!$B$14</f>
        <v/>
      </c>
      <c r="G50" s="79">
        <f>C50*'Assessment Inputs'!$B$14</f>
        <v/>
      </c>
      <c r="H50" s="79">
        <f>F50-G50</f>
        <v/>
      </c>
      <c r="I50" s="79">
        <f>E50*('Assessment Inputs'!$B$3-'Assessment Inputs'!$B$4)/'Assessment Inputs'!$B$3</f>
        <v/>
      </c>
      <c r="J50" s="79">
        <f>F50*'Assessment Inputs'!$B$12</f>
        <v/>
      </c>
      <c r="K50" s="79">
        <f>H50*'Assessment Inputs'!$B$12</f>
        <v/>
      </c>
      <c r="L50" s="51" t="n"/>
    </row>
    <row r="51" ht="15" customHeight="1" s="44">
      <c r="A51" s="48" t="inlineStr">
        <is>
          <t>Talas Harbor</t>
        </is>
      </c>
      <c r="B51" s="51" t="n">
        <v>2</v>
      </c>
      <c r="C51" s="81">
        <f>SUMIF('Assessment by Facility'!$B$2:$B$135,A51,'Assessment by Facility'!$G$2:$G$135)</f>
        <v/>
      </c>
      <c r="D51" s="81">
        <f>SUMIF('Assessment by Facility'!$B$2:$B$135,A51,'Assessment by Facility'!$J$2:$J$135)</f>
        <v/>
      </c>
      <c r="E51" s="79">
        <f>D51-C51</f>
        <v/>
      </c>
      <c r="F51" s="79">
        <f>D51*'Assessment Inputs'!$B$14</f>
        <v/>
      </c>
      <c r="G51" s="79">
        <f>C51*'Assessment Inputs'!$B$14</f>
        <v/>
      </c>
      <c r="H51" s="79">
        <f>F51-G51</f>
        <v/>
      </c>
      <c r="I51" s="79">
        <f>E51*('Assessment Inputs'!$B$3-'Assessment Inputs'!$B$4)/'Assessment Inputs'!$B$3</f>
        <v/>
      </c>
      <c r="J51" s="79">
        <f>F51*'Assessment Inputs'!$B$12</f>
        <v/>
      </c>
      <c r="K51" s="79">
        <f>H51*'Assessment Inputs'!$B$12</f>
        <v/>
      </c>
      <c r="L51" s="51" t="n"/>
    </row>
    <row r="52" ht="15" customHeight="1" s="44">
      <c r="A52" s="48" t="inlineStr">
        <is>
          <t>Sana Behavioral Hospital</t>
        </is>
      </c>
      <c r="B52" s="51" t="n">
        <v>1</v>
      </c>
      <c r="C52" s="81">
        <f>SUMIF('Assessment by Facility'!$B$2:$B$135,A52,'Assessment by Facility'!$G$2:$G$135)</f>
        <v/>
      </c>
      <c r="D52" s="81">
        <f>SUMIF('Assessment by Facility'!$B$2:$B$135,A52,'Assessment by Facility'!$J$2:$J$135)</f>
        <v/>
      </c>
      <c r="E52" s="79">
        <f>D52-C52</f>
        <v/>
      </c>
      <c r="F52" s="79">
        <f>D52*'Assessment Inputs'!$B$14</f>
        <v/>
      </c>
      <c r="G52" s="79">
        <f>C52*'Assessment Inputs'!$B$14</f>
        <v/>
      </c>
      <c r="H52" s="79">
        <f>F52-G52</f>
        <v/>
      </c>
      <c r="I52" s="79">
        <f>E52*('Assessment Inputs'!$B$3-'Assessment Inputs'!$B$4)/'Assessment Inputs'!$B$3</f>
        <v/>
      </c>
      <c r="J52" s="79">
        <f>F52*'Assessment Inputs'!$B$12</f>
        <v/>
      </c>
      <c r="K52" s="79">
        <f>H52*'Assessment Inputs'!$B$12</f>
        <v/>
      </c>
      <c r="L52" s="51" t="n"/>
    </row>
    <row r="53" ht="15" customHeight="1" s="44">
      <c r="A53" s="48" t="inlineStr">
        <is>
          <t>Total</t>
        </is>
      </c>
      <c r="B53" s="61">
        <f>SUM(B2:B52)</f>
        <v/>
      </c>
      <c r="C53" s="80">
        <f>SUM(C2:C52)</f>
        <v/>
      </c>
      <c r="D53" s="80">
        <f>SUM(D2:D52)</f>
        <v/>
      </c>
      <c r="E53" s="80">
        <f>SUM(E2:E52)</f>
        <v/>
      </c>
      <c r="F53" s="80">
        <f>SUM(F2:F52)</f>
        <v/>
      </c>
      <c r="G53" s="80">
        <f>SUM(G2:G52)</f>
        <v/>
      </c>
      <c r="H53" s="80">
        <f>SUM(H2:H52)</f>
        <v/>
      </c>
      <c r="I53" s="80">
        <f>SUM(I2:I52)</f>
        <v/>
      </c>
      <c r="J53" s="80">
        <f>SUM(J2:J52)</f>
        <v/>
      </c>
      <c r="K53" s="80">
        <f>SUM(K2:K52)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I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43" min="1" max="1"/>
    <col width="10" customWidth="1" style="43" min="2" max="2"/>
    <col width="16" customWidth="1" style="43" min="3" max="4"/>
    <col width="18" customWidth="1" style="43" min="5" max="5"/>
    <col width="16" customWidth="1" style="43" min="6" max="8"/>
    <col width="90" customWidth="1" style="43" min="9" max="9"/>
  </cols>
  <sheetData>
    <row r="1" ht="48" customHeight="1" s="44">
      <c r="A1" s="50" t="inlineStr">
        <is>
          <t>LD</t>
        </is>
      </c>
      <c r="B1" s="50" t="inlineStr">
        <is>
          <t>Facilities located in district</t>
        </is>
      </c>
      <c r="C1" s="50" t="inlineStr">
        <is>
          <t>SFY 2025 assessment paid</t>
        </is>
      </c>
      <c r="D1" s="50" t="inlineStr">
        <is>
          <t>SFY 2025 payments received</t>
        </is>
      </c>
      <c r="E1" s="50" t="inlineStr">
        <is>
          <t>Payments lost per year at 3.5%</t>
        </is>
      </c>
      <c r="F1" s="50" t="inlineStr">
        <is>
          <t>Assessment saved per year</t>
        </is>
      </c>
      <c r="G1" s="50" t="inlineStr">
        <is>
          <t>Net loss per year at 3.5%</t>
        </is>
      </c>
      <c r="H1" s="50" t="inlineStr">
        <is>
          <t>Ten-year net loss</t>
        </is>
      </c>
      <c r="I1" s="50" t="inlineStr">
        <is>
          <t>Hospitals</t>
        </is>
      </c>
    </row>
    <row r="2" ht="15" customHeight="1" s="44">
      <c r="A2" s="48" t="n">
        <v>1</v>
      </c>
      <c r="B2" s="51" t="n">
        <v>5</v>
      </c>
      <c r="C2" s="81">
        <f>SUMIF('Assessment by Facility'!$E$2:$E$135,A2,'Assessment by Facility'!$G$2:$G$135)</f>
        <v/>
      </c>
      <c r="D2" s="81">
        <f>SUMIF('Assessment by Facility'!$E$2:$E$135,A2,'Assessment by Facility'!$J$2:$J$135)</f>
        <v/>
      </c>
      <c r="E2" s="79">
        <f>D2*'Assessment Inputs'!$B$14</f>
        <v/>
      </c>
      <c r="F2" s="79">
        <f>C2*'Assessment Inputs'!$B$14</f>
        <v/>
      </c>
      <c r="G2" s="79">
        <f>E2-F2</f>
        <v/>
      </c>
      <c r="H2" s="79">
        <f>G2*'Assessment Inputs'!$B$12</f>
        <v/>
      </c>
      <c r="I2" s="46" t="inlineStr">
        <is>
          <t>(no assessment-program hospital located in district)</t>
        </is>
      </c>
    </row>
    <row r="3" ht="34.5" customHeight="1" s="44">
      <c r="A3" s="48" t="n">
        <v>2</v>
      </c>
      <c r="B3" s="51" t="n">
        <v>2</v>
      </c>
      <c r="C3" s="81">
        <f>SUMIF('Assessment by Facility'!$E$2:$E$135,A3,'Assessment by Facility'!$G$2:$G$135)</f>
        <v/>
      </c>
      <c r="D3" s="81">
        <f>SUMIF('Assessment by Facility'!$E$2:$E$135,A3,'Assessment by Facility'!$J$2:$J$135)</f>
        <v/>
      </c>
      <c r="E3" s="79">
        <f>D3*'Assessment Inputs'!$B$14</f>
        <v/>
      </c>
      <c r="F3" s="79">
        <f>C3*'Assessment Inputs'!$B$14</f>
        <v/>
      </c>
      <c r="G3" s="79">
        <f>E3-F3</f>
        <v/>
      </c>
      <c r="H3" s="79">
        <f>G3*'Assessment Inputs'!$B$12</f>
        <v/>
      </c>
      <c r="I3" s="46" t="inlineStr">
        <is>
          <t>Medical Behavioral Hospital of Northern Arizona (closed); Mountain Valley Regional Rehabilitation Hospital; Verde Valley Medical Center; Windhaven Psychiatric Hospital (Polara Health); Yavapai Regional Medical Center</t>
        </is>
      </c>
    </row>
    <row r="4" ht="15" customHeight="1" s="44">
      <c r="A4" s="48" t="n">
        <v>3</v>
      </c>
      <c r="B4" s="51" t="n">
        <v>3</v>
      </c>
      <c r="C4" s="81">
        <f>SUMIF('Assessment by Facility'!$E$2:$E$135,A4,'Assessment by Facility'!$G$2:$G$135)</f>
        <v/>
      </c>
      <c r="D4" s="81">
        <f>SUMIF('Assessment by Facility'!$E$2:$E$135,A4,'Assessment by Facility'!$J$2:$J$135)</f>
        <v/>
      </c>
      <c r="E4" s="79">
        <f>D4*'Assessment Inputs'!$B$14</f>
        <v/>
      </c>
      <c r="F4" s="79">
        <f>C4*'Assessment Inputs'!$B$14</f>
        <v/>
      </c>
      <c r="G4" s="79">
        <f>E4-F4</f>
        <v/>
      </c>
      <c r="H4" s="79">
        <f>G4*'Assessment Inputs'!$B$12</f>
        <v/>
      </c>
      <c r="I4" s="46" t="inlineStr">
        <is>
          <t>HonorHealth Deer Valley Medical Center; Quail Run Behavioral Health</t>
        </is>
      </c>
    </row>
    <row r="5" ht="23.25" customHeight="1" s="44">
      <c r="A5" s="48" t="n">
        <v>4</v>
      </c>
      <c r="B5" s="51" t="n">
        <v>3</v>
      </c>
      <c r="C5" s="81">
        <f>SUMIF('Assessment by Facility'!$E$2:$E$135,A5,'Assessment by Facility'!$G$2:$G$135)</f>
        <v/>
      </c>
      <c r="D5" s="81">
        <f>SUMIF('Assessment by Facility'!$E$2:$E$135,A5,'Assessment by Facility'!$J$2:$J$135)</f>
        <v/>
      </c>
      <c r="E5" s="79">
        <f>D5*'Assessment Inputs'!$B$14</f>
        <v/>
      </c>
      <c r="F5" s="79">
        <f>C5*'Assessment Inputs'!$B$14</f>
        <v/>
      </c>
      <c r="G5" s="79">
        <f>E5-F5</f>
        <v/>
      </c>
      <c r="H5" s="79">
        <f>G5*'Assessment Inputs'!$B$12</f>
        <v/>
      </c>
      <c r="I5" s="46" t="inlineStr">
        <is>
          <t>Encompass Health Rehabilitation Hospital of Scottsdale; HonorHealth Scottsdale Thompson Peak Medical Center; HonorHealth Sonoran Crossing Medical Center</t>
        </is>
      </c>
    </row>
    <row r="6" ht="15" customHeight="1" s="44">
      <c r="A6" s="48" t="n">
        <v>5</v>
      </c>
      <c r="B6" s="51" t="n">
        <v>12</v>
      </c>
      <c r="C6" s="81">
        <f>SUMIF('Assessment by Facility'!$E$2:$E$135,A6,'Assessment by Facility'!$G$2:$G$135)</f>
        <v/>
      </c>
      <c r="D6" s="81">
        <f>SUMIF('Assessment by Facility'!$E$2:$E$135,A6,'Assessment by Facility'!$J$2:$J$135)</f>
        <v/>
      </c>
      <c r="E6" s="79">
        <f>D6*'Assessment Inputs'!$B$14</f>
        <v/>
      </c>
      <c r="F6" s="79">
        <f>C6*'Assessment Inputs'!$B$14</f>
        <v/>
      </c>
      <c r="G6" s="79">
        <f>E6-F6</f>
        <v/>
      </c>
      <c r="H6" s="79">
        <f>G6*'Assessment Inputs'!$B$12</f>
        <v/>
      </c>
      <c r="I6" s="46" t="inlineStr">
        <is>
          <t>Abrazo Scottsdale Campus; HonorHealth Scottsdale Shea Medical Center; Mayo Clinic Hospital</t>
        </is>
      </c>
    </row>
    <row r="7" ht="68.25" customHeight="1" s="44">
      <c r="A7" s="48" t="n">
        <v>6</v>
      </c>
      <c r="B7" s="51" t="n">
        <v>13</v>
      </c>
      <c r="C7" s="81">
        <f>SUMIF('Assessment by Facility'!$E$2:$E$135,A7,'Assessment by Facility'!$G$2:$G$135)</f>
        <v/>
      </c>
      <c r="D7" s="81">
        <f>SUMIF('Assessment by Facility'!$E$2:$E$135,A7,'Assessment by Facility'!$J$2:$J$135)</f>
        <v/>
      </c>
      <c r="E7" s="79">
        <f>D7*'Assessment Inputs'!$B$14</f>
        <v/>
      </c>
      <c r="F7" s="79">
        <f>C7*'Assessment Inputs'!$B$14</f>
        <v/>
      </c>
      <c r="G7" s="79">
        <f>E7-F7</f>
        <v/>
      </c>
      <c r="H7" s="79">
        <f>G7*'Assessment Inputs'!$B$12</f>
        <v/>
      </c>
      <c r="I7" s="46" t="inlineStr">
        <is>
          <t>Banner – University Medical Center Phoenix; College Medical Center Phoenix (formerly St. Luke's Behavioral Hospital); HonorHealth John C. Lincoln Medical Center; Phoenix Children's Hospital; Phoenix Indian Medical Center; Phoenix Medical Psychiatric Hospital; Reunion Rehabilitation Hospital Phoenix; Select Specialty Hospital – Phoenix (St. Joseph's campus); Select Specialty Hospital – Phoenix Downtown (Banner UMC Phoenix campus); St. Joseph's Hospital and Medical Center (Phoenix); Valley Hospital (Phoenix); Valleywise Health Medical Center</t>
        </is>
      </c>
    </row>
    <row r="8" ht="57" customHeight="1" s="44">
      <c r="A8" s="48" t="n">
        <v>7</v>
      </c>
      <c r="B8" s="51" t="n">
        <v>5</v>
      </c>
      <c r="C8" s="81">
        <f>SUMIF('Assessment by Facility'!$E$2:$E$135,A8,'Assessment by Facility'!$G$2:$G$135)</f>
        <v/>
      </c>
      <c r="D8" s="81">
        <f>SUMIF('Assessment by Facility'!$E$2:$E$135,A8,'Assessment by Facility'!$J$2:$J$135)</f>
        <v/>
      </c>
      <c r="E8" s="79">
        <f>D8*'Assessment Inputs'!$B$14</f>
        <v/>
      </c>
      <c r="F8" s="79">
        <f>C8*'Assessment Inputs'!$B$14</f>
        <v/>
      </c>
      <c r="G8" s="79">
        <f>E8-F8</f>
        <v/>
      </c>
      <c r="H8" s="79">
        <f>G8*'Assessment Inputs'!$B$12</f>
        <v/>
      </c>
      <c r="I8" s="46" t="inlineStr">
        <is>
          <t>Chinle Comprehensive Health Care Facility; Flagstaff Medical Center; Hopi Health Care Center; Little Colorado Medical Center; Page Hospital; Rehabilitation Hospital of Northern Arizona; Sage Memorial Hospital; San Carlos Apache Healthcare Corporation; The Guidance Center; Tséhootsooí Medical Center (Fort Defiance Indian Hospital); Tuba City Regional Health Care Corporation; White Mountain Regional Medical Center; Whiteriver Indian Hospital</t>
        </is>
      </c>
    </row>
    <row r="9" ht="34.5" customHeight="1" s="44">
      <c r="A9" s="48" t="n">
        <v>8</v>
      </c>
      <c r="B9" s="51" t="n">
        <v>6</v>
      </c>
      <c r="C9" s="81">
        <f>SUMIF('Assessment by Facility'!$E$2:$E$135,A9,'Assessment by Facility'!$G$2:$G$135)</f>
        <v/>
      </c>
      <c r="D9" s="81">
        <f>SUMIF('Assessment by Facility'!$E$2:$E$135,A9,'Assessment by Facility'!$J$2:$J$135)</f>
        <v/>
      </c>
      <c r="E9" s="79">
        <f>D9*'Assessment Inputs'!$B$14</f>
        <v/>
      </c>
      <c r="F9" s="79">
        <f>C9*'Assessment Inputs'!$B$14</f>
        <v/>
      </c>
      <c r="G9" s="79">
        <f>E9-F9</f>
        <v/>
      </c>
      <c r="H9" s="79">
        <f>G9*'Assessment Inputs'!$B$12</f>
        <v/>
      </c>
      <c r="I9" s="46" t="inlineStr">
        <is>
          <t>Banner Payson Medical Center; ChangePoint Psychiatric Hospital; Cobre Valley Regional Medical Center; HonorHealth Florence Medical Center (formerly Florence Hospital); Summit Healthcare Regional Medical Center</t>
        </is>
      </c>
    </row>
    <row r="10" ht="34.5" customHeight="1" s="44">
      <c r="A10" s="48" t="n">
        <v>9</v>
      </c>
      <c r="B10" s="51" t="n">
        <v>2</v>
      </c>
      <c r="C10" s="81">
        <f>SUMIF('Assessment by Facility'!$E$2:$E$135,A10,'Assessment by Facility'!$G$2:$G$135)</f>
        <v/>
      </c>
      <c r="D10" s="81">
        <f>SUMIF('Assessment by Facility'!$E$2:$E$135,A10,'Assessment by Facility'!$J$2:$J$135)</f>
        <v/>
      </c>
      <c r="E10" s="79">
        <f>D10*'Assessment Inputs'!$B$14</f>
        <v/>
      </c>
      <c r="F10" s="79">
        <f>C10*'Assessment Inputs'!$B$14</f>
        <v/>
      </c>
      <c r="G10" s="79">
        <f>E10-F10</f>
        <v/>
      </c>
      <c r="H10" s="79">
        <f>G10*'Assessment Inputs'!$B$12</f>
        <v/>
      </c>
      <c r="I10" s="46" t="inlineStr">
        <is>
          <t>Arizona Specialty Hospital (Phoenix campus; formerly OASIS Hospital); Banner Behavioral Health Hospital; HonorHealth Rehabilitation Hospital; HonorHealth Scottsdale Osborn Medical Center; HonorHealth Tempe Medical Center (formerly Tempe St. Luke's); Via Linda Behavioral Hospital</t>
        </is>
      </c>
    </row>
    <row r="11" ht="15" customHeight="1" s="44">
      <c r="A11" s="48" t="n">
        <v>10</v>
      </c>
      <c r="B11" s="51" t="n">
        <v>6</v>
      </c>
      <c r="C11" s="81">
        <f>SUMIF('Assessment by Facility'!$E$2:$E$135,A11,'Assessment by Facility'!$G$2:$G$135)</f>
        <v/>
      </c>
      <c r="D11" s="81">
        <f>SUMIF('Assessment by Facility'!$E$2:$E$135,A11,'Assessment by Facility'!$J$2:$J$135)</f>
        <v/>
      </c>
      <c r="E11" s="79">
        <f>D11*'Assessment Inputs'!$B$14</f>
        <v/>
      </c>
      <c r="F11" s="79">
        <f>C11*'Assessment Inputs'!$B$14</f>
        <v/>
      </c>
      <c r="G11" s="79">
        <f>E11-F11</f>
        <v/>
      </c>
      <c r="H11" s="79">
        <f>G11*'Assessment Inputs'!$B$12</f>
        <v/>
      </c>
      <c r="I11" s="46" t="inlineStr">
        <is>
          <t>Banner Desert Medical Center; Phoenix Specialty Hospital (formerly KPC Promise Hospital of Phoenix)</t>
        </is>
      </c>
    </row>
    <row r="12" ht="34.5" customHeight="1" s="44">
      <c r="A12" s="48" t="n">
        <v>11</v>
      </c>
      <c r="B12" s="51" t="n">
        <v>4</v>
      </c>
      <c r="C12" s="81">
        <f>SUMIF('Assessment by Facility'!$E$2:$E$135,A12,'Assessment by Facility'!$G$2:$G$135)</f>
        <v/>
      </c>
      <c r="D12" s="81">
        <f>SUMIF('Assessment by Facility'!$E$2:$E$135,A12,'Assessment by Facility'!$J$2:$J$135)</f>
        <v/>
      </c>
      <c r="E12" s="79">
        <f>D12*'Assessment Inputs'!$B$14</f>
        <v/>
      </c>
      <c r="F12" s="79">
        <f>C12*'Assessment Inputs'!$B$14</f>
        <v/>
      </c>
      <c r="G12" s="79">
        <f>E12-F12</f>
        <v/>
      </c>
      <c r="H12" s="79">
        <f>G12*'Assessment Inputs'!$B$12</f>
        <v/>
      </c>
      <c r="I12" s="46" t="inlineStr">
        <is>
          <t>Arizona Spine and Joint Hospital; Banner Baywood Medical Center; Banner Goldfield Medical Center; Banner Heart Hospital; Encompass Health Rehabilitation Hospital of East Valley; HonorHealth Four Peaks Medical Center (formerly Mountain Vista Medical Center)</t>
        </is>
      </c>
    </row>
    <row r="13" ht="23.25" customHeight="1" s="44">
      <c r="A13" s="48" t="n">
        <v>12</v>
      </c>
      <c r="B13" s="51" t="n">
        <v>3</v>
      </c>
      <c r="C13" s="81">
        <f>SUMIF('Assessment by Facility'!$E$2:$E$135,A13,'Assessment by Facility'!$G$2:$G$135)</f>
        <v/>
      </c>
      <c r="D13" s="81">
        <f>SUMIF('Assessment by Facility'!$E$2:$E$135,A13,'Assessment by Facility'!$J$2:$J$135)</f>
        <v/>
      </c>
      <c r="E13" s="79">
        <f>D13*'Assessment Inputs'!$B$14</f>
        <v/>
      </c>
      <c r="F13" s="79">
        <f>C13*'Assessment Inputs'!$B$14</f>
        <v/>
      </c>
      <c r="G13" s="79">
        <f>E13-F13</f>
        <v/>
      </c>
      <c r="H13" s="79">
        <f>G13*'Assessment Inputs'!$B$12</f>
        <v/>
      </c>
      <c r="I13" s="46" t="inlineStr">
        <is>
          <t>Arizona General Hospital – Laveen; Arizona State Hospital; Haven Behavioral Hospital of Phoenix; Talas Harbor at Buckeye (Phoenix) (closed)</t>
        </is>
      </c>
    </row>
    <row r="14" ht="23.25" customHeight="1" s="44">
      <c r="A14" s="48" t="n">
        <v>13</v>
      </c>
      <c r="B14" s="51" t="n">
        <v>3</v>
      </c>
      <c r="C14" s="81">
        <f>SUMIF('Assessment by Facility'!$E$2:$E$135,A14,'Assessment by Facility'!$G$2:$G$135)</f>
        <v/>
      </c>
      <c r="D14" s="81">
        <f>SUMIF('Assessment by Facility'!$E$2:$E$135,A14,'Assessment by Facility'!$J$2:$J$135)</f>
        <v/>
      </c>
      <c r="E14" s="79">
        <f>D14*'Assessment Inputs'!$B$14</f>
        <v/>
      </c>
      <c r="F14" s="79">
        <f>C14*'Assessment Inputs'!$B$14</f>
        <v/>
      </c>
      <c r="G14" s="79">
        <f>E14-F14</f>
        <v/>
      </c>
      <c r="H14" s="79">
        <f>G14*'Assessment Inputs'!$B$12</f>
        <v/>
      </c>
      <c r="I14" s="46" t="inlineStr">
        <is>
          <t>Arizona Specialty Hospital – Chandler campus (formerly Arizona Orthopedic Surgical Hospital); Aurora Behavioral Healthcare – Tempe; Oasis Behavioral Health Hospital</t>
        </is>
      </c>
    </row>
    <row r="15" ht="23.25" customHeight="1" s="44">
      <c r="A15" s="48" t="n">
        <v>14</v>
      </c>
      <c r="B15" s="51" t="n">
        <v>5</v>
      </c>
      <c r="C15" s="81">
        <f>SUMIF('Assessment by Facility'!$E$2:$E$135,A15,'Assessment by Facility'!$G$2:$G$135)</f>
        <v/>
      </c>
      <c r="D15" s="81">
        <f>SUMIF('Assessment by Facility'!$E$2:$E$135,A15,'Assessment by Facility'!$J$2:$J$135)</f>
        <v/>
      </c>
      <c r="E15" s="79">
        <f>D15*'Assessment Inputs'!$B$14</f>
        <v/>
      </c>
      <c r="F15" s="79">
        <f>C15*'Assessment Inputs'!$B$14</f>
        <v/>
      </c>
      <c r="G15" s="79">
        <f>E15-F15</f>
        <v/>
      </c>
      <c r="H15" s="79">
        <f>G15*'Assessment Inputs'!$B$12</f>
        <v/>
      </c>
      <c r="I15" s="46" t="inlineStr">
        <is>
          <t>Banner Ocotillo Medical Center; Chandler Regional Medical Center; Dignity Health East Valley Rehabilitation Hospital – Chandler (Dignity–Kindred)</t>
        </is>
      </c>
    </row>
    <row r="16" ht="23.25" customHeight="1" s="44">
      <c r="A16" s="48" t="n">
        <v>15</v>
      </c>
      <c r="B16" s="51" t="n">
        <v>3</v>
      </c>
      <c r="C16" s="81">
        <f>SUMIF('Assessment by Facility'!$E$2:$E$135,A16,'Assessment by Facility'!$G$2:$G$135)</f>
        <v/>
      </c>
      <c r="D16" s="81">
        <f>SUMIF('Assessment by Facility'!$E$2:$E$135,A16,'Assessment by Facility'!$J$2:$J$135)</f>
        <v/>
      </c>
      <c r="E16" s="79">
        <f>D16*'Assessment Inputs'!$B$14</f>
        <v/>
      </c>
      <c r="F16" s="79">
        <f>C16*'Assessment Inputs'!$B$14</f>
        <v/>
      </c>
      <c r="G16" s="79">
        <f>E16-F16</f>
        <v/>
      </c>
      <c r="H16" s="79">
        <f>G16*'Assessment Inputs'!$B$12</f>
        <v/>
      </c>
      <c r="I16" s="46" t="inlineStr">
        <is>
          <t>Banner Gateway Medical Center; Copper Springs East (Gilbert); Dignity Health East Valley Rehabilitation Hospital – Gilbert; East Valley ER &amp; Hospital; Mercy Gilbert Medical Center</t>
        </is>
      </c>
    </row>
    <row r="17" ht="23.25" customHeight="1" s="44">
      <c r="A17" s="48" t="n">
        <v>16</v>
      </c>
      <c r="B17" s="51" t="n">
        <v>3</v>
      </c>
      <c r="C17" s="81">
        <f>SUMIF('Assessment by Facility'!$E$2:$E$135,A17,'Assessment by Facility'!$G$2:$G$135)</f>
        <v/>
      </c>
      <c r="D17" s="81">
        <f>SUMIF('Assessment by Facility'!$E$2:$E$135,A17,'Assessment by Facility'!$J$2:$J$135)</f>
        <v/>
      </c>
      <c r="E17" s="79">
        <f>D17*'Assessment Inputs'!$B$14</f>
        <v/>
      </c>
      <c r="F17" s="79">
        <f>C17*'Assessment Inputs'!$B$14</f>
        <v/>
      </c>
      <c r="G17" s="79">
        <f>E17-F17</f>
        <v/>
      </c>
      <c r="H17" s="79">
        <f>G17*'Assessment Inputs'!$B$12</f>
        <v/>
      </c>
      <c r="I17" s="46" t="inlineStr">
        <is>
          <t>Agave Ridge Behavioral Health Hospital; Banner Ironwood Medical Center; Dignity Health Arizona General Hospital – Mesa</t>
        </is>
      </c>
    </row>
    <row r="18" ht="23.25" customHeight="1" s="44">
      <c r="A18" s="48" t="n">
        <v>17</v>
      </c>
      <c r="B18" s="51" t="n">
        <v>2</v>
      </c>
      <c r="C18" s="81">
        <f>SUMIF('Assessment by Facility'!$E$2:$E$135,A18,'Assessment by Facility'!$G$2:$G$135)</f>
        <v/>
      </c>
      <c r="D18" s="81">
        <f>SUMIF('Assessment by Facility'!$E$2:$E$135,A18,'Assessment by Facility'!$J$2:$J$135)</f>
        <v/>
      </c>
      <c r="E18" s="79">
        <f>D18*'Assessment Inputs'!$B$14</f>
        <v/>
      </c>
      <c r="F18" s="79">
        <f>C18*'Assessment Inputs'!$B$14</f>
        <v/>
      </c>
      <c r="G18" s="79">
        <f>E18-F18</f>
        <v/>
      </c>
      <c r="H18" s="79">
        <f>G18*'Assessment Inputs'!$B$12</f>
        <v/>
      </c>
      <c r="I18" s="46" t="inlineStr">
        <is>
          <t>Banner Casa Grande Medical Center; Exceptional Community Hospital – Maricopa; Hu Hu Kam Memorial Hospital</t>
        </is>
      </c>
    </row>
    <row r="19" ht="15" customHeight="1" s="44">
      <c r="A19" s="48" t="n">
        <v>18</v>
      </c>
      <c r="B19" s="51" t="n">
        <v>10</v>
      </c>
      <c r="C19" s="81">
        <f>SUMIF('Assessment by Facility'!$E$2:$E$135,A19,'Assessment by Facility'!$G$2:$G$135)</f>
        <v/>
      </c>
      <c r="D19" s="81">
        <f>SUMIF('Assessment by Facility'!$E$2:$E$135,A19,'Assessment by Facility'!$J$2:$J$135)</f>
        <v/>
      </c>
      <c r="E19" s="79">
        <f>D19*'Assessment Inputs'!$B$14</f>
        <v/>
      </c>
      <c r="F19" s="79">
        <f>C19*'Assessment Inputs'!$B$14</f>
        <v/>
      </c>
      <c r="G19" s="79">
        <f>E19-F19</f>
        <v/>
      </c>
      <c r="H19" s="79">
        <f>G19*'Assessment Inputs'!$B$12</f>
        <v/>
      </c>
      <c r="I19" s="46" t="inlineStr">
        <is>
          <t>Northwest Medical Center Houghton; Oro Valley Hospital</t>
        </is>
      </c>
    </row>
    <row r="20" ht="45.75" customHeight="1" s="44">
      <c r="A20" s="48" t="n">
        <v>19</v>
      </c>
      <c r="B20" s="51" t="n">
        <v>4</v>
      </c>
      <c r="C20" s="81">
        <f>SUMIF('Assessment by Facility'!$E$2:$E$135,A20,'Assessment by Facility'!$G$2:$G$135)</f>
        <v/>
      </c>
      <c r="D20" s="81">
        <f>SUMIF('Assessment by Facility'!$E$2:$E$135,A20,'Assessment by Facility'!$J$2:$J$135)</f>
        <v/>
      </c>
      <c r="E20" s="79">
        <f>D20*'Assessment Inputs'!$B$14</f>
        <v/>
      </c>
      <c r="F20" s="79">
        <f>C20*'Assessment Inputs'!$B$14</f>
        <v/>
      </c>
      <c r="G20" s="79">
        <f>E20-F20</f>
        <v/>
      </c>
      <c r="H20" s="79">
        <f>G20*'Assessment Inputs'!$B$12</f>
        <v/>
      </c>
      <c r="I20" s="46" t="inlineStr">
        <is>
          <t>Carondelet St. Joseph's Hospital (Tucson); Cornerstone Behavioral Health Hospital of El Dorado; Cornerstone Specialty Hospitals Tucson; Encompass Health Rehabilitation Hospital of Northwest Tucson; Encompass Health Rehabilitation Institute of Tucson; Northwest Medical Center; Palo Verde Behavioral Health; Select Specialty Hospital – Tucson (Northwest); Sonora Behavioral Health Hospital; Tucson Medical Center</t>
        </is>
      </c>
    </row>
    <row r="21" ht="23.25" customHeight="1" s="44">
      <c r="A21" s="48" t="n">
        <v>20</v>
      </c>
      <c r="B21" s="51" t="n">
        <v>2</v>
      </c>
      <c r="C21" s="81">
        <f>SUMIF('Assessment by Facility'!$E$2:$E$135,A21,'Assessment by Facility'!$G$2:$G$135)</f>
        <v/>
      </c>
      <c r="D21" s="81">
        <f>SUMIF('Assessment by Facility'!$E$2:$E$135,A21,'Assessment by Facility'!$J$2:$J$135)</f>
        <v/>
      </c>
      <c r="E21" s="79">
        <f>D21*'Assessment Inputs'!$B$14</f>
        <v/>
      </c>
      <c r="F21" s="79">
        <f>C21*'Assessment Inputs'!$B$14</f>
        <v/>
      </c>
      <c r="G21" s="79">
        <f>E21-F21</f>
        <v/>
      </c>
      <c r="H21" s="79">
        <f>G21*'Assessment Inputs'!$B$12</f>
        <v/>
      </c>
      <c r="I21" s="46" t="inlineStr">
        <is>
          <t>Benson Hospital; Canyon Vista Medical Center; Mt. Graham Regional Medical Center; Northern Cochise Community Hospital</t>
        </is>
      </c>
    </row>
    <row r="22" ht="15" customHeight="1" s="44">
      <c r="A22" s="48" t="n">
        <v>21</v>
      </c>
      <c r="B22" s="51" t="n">
        <v>4</v>
      </c>
      <c r="C22" s="81">
        <f>SUMIF('Assessment by Facility'!$E$2:$E$135,A22,'Assessment by Facility'!$G$2:$G$135)</f>
        <v/>
      </c>
      <c r="D22" s="81">
        <f>SUMIF('Assessment by Facility'!$E$2:$E$135,A22,'Assessment by Facility'!$J$2:$J$135)</f>
        <v/>
      </c>
      <c r="E22" s="79">
        <f>D22*'Assessment Inputs'!$B$14</f>
        <v/>
      </c>
      <c r="F22" s="79">
        <f>C22*'Assessment Inputs'!$B$14</f>
        <v/>
      </c>
      <c r="G22" s="79">
        <f>E22-F22</f>
        <v/>
      </c>
      <c r="H22" s="79">
        <f>G22*'Assessment Inputs'!$B$12</f>
        <v/>
      </c>
      <c r="I22" s="46" t="inlineStr">
        <is>
          <t>Banner – University Medical Center Tucson; Carondelet St. Mary's Hospital (Tucson)</t>
        </is>
      </c>
    </row>
    <row r="23" ht="23.25" customHeight="1" s="44">
      <c r="A23" s="48" t="n">
        <v>22</v>
      </c>
      <c r="B23" s="51" t="n">
        <v>3</v>
      </c>
      <c r="C23" s="81">
        <f>SUMIF('Assessment by Facility'!$E$2:$E$135,A23,'Assessment by Facility'!$G$2:$G$135)</f>
        <v/>
      </c>
      <c r="D23" s="81">
        <f>SUMIF('Assessment by Facility'!$E$2:$E$135,A23,'Assessment by Facility'!$J$2:$J$135)</f>
        <v/>
      </c>
      <c r="E23" s="79">
        <f>D23*'Assessment Inputs'!$B$14</f>
        <v/>
      </c>
      <c r="F23" s="79">
        <f>C23*'Assessment Inputs'!$B$14</f>
        <v/>
      </c>
      <c r="G23" s="79">
        <f>E23-F23</f>
        <v/>
      </c>
      <c r="H23" s="79">
        <f>G23*'Assessment Inputs'!$B$12</f>
        <v/>
      </c>
      <c r="I23" s="46" t="inlineStr">
        <is>
          <t>Banner – University Medical Center South; Copper Queen Community Hospital; Holy Cross Hospital (Nogales); Northwest Medical Center Sahuarita</t>
        </is>
      </c>
    </row>
    <row r="24" ht="23.25" customHeight="1" s="44">
      <c r="A24" s="48" t="n">
        <v>23</v>
      </c>
      <c r="B24" s="51" t="n">
        <v>3</v>
      </c>
      <c r="C24" s="81">
        <f>SUMIF('Assessment by Facility'!$E$2:$E$135,A24,'Assessment by Facility'!$G$2:$G$135)</f>
        <v/>
      </c>
      <c r="D24" s="81">
        <f>SUMIF('Assessment by Facility'!$E$2:$E$135,A24,'Assessment by Facility'!$J$2:$J$135)</f>
        <v/>
      </c>
      <c r="E24" s="79">
        <f>D24*'Assessment Inputs'!$B$14</f>
        <v/>
      </c>
      <c r="F24" s="79">
        <f>C24*'Assessment Inputs'!$B$14</f>
        <v/>
      </c>
      <c r="G24" s="79">
        <f>E24-F24</f>
        <v/>
      </c>
      <c r="H24" s="79">
        <f>G24*'Assessment Inputs'!$B$12</f>
        <v/>
      </c>
      <c r="I24" s="46" t="inlineStr">
        <is>
          <t>Banner Estrella Medical Center; ClearSky Rehabilitation Hospital of Avondale; Copper Springs Hospital (Avondale)</t>
        </is>
      </c>
    </row>
    <row r="25" ht="23.25" customHeight="1" s="44">
      <c r="A25" s="48" t="n">
        <v>24</v>
      </c>
      <c r="B25" s="51" t="n">
        <v>1</v>
      </c>
      <c r="C25" s="81">
        <f>SUMIF('Assessment by Facility'!$E$2:$E$135,A25,'Assessment by Facility'!$G$2:$G$135)</f>
        <v/>
      </c>
      <c r="D25" s="81">
        <f>SUMIF('Assessment by Facility'!$E$2:$E$135,A25,'Assessment by Facility'!$J$2:$J$135)</f>
        <v/>
      </c>
      <c r="E25" s="79">
        <f>D25*'Assessment Inputs'!$B$14</f>
        <v/>
      </c>
      <c r="F25" s="79">
        <f>C25*'Assessment Inputs'!$B$14</f>
        <v/>
      </c>
      <c r="G25" s="79">
        <f>E25-F25</f>
        <v/>
      </c>
      <c r="H25" s="79">
        <f>G25*'Assessment Inputs'!$B$12</f>
        <v/>
      </c>
      <c r="I25" s="46" t="inlineStr">
        <is>
          <t>Abrazo West Campus; City of Hope Cancer Center Phoenix (formerly CTCA Western Regional); Tohono O'odham Nation Sells Hospital</t>
        </is>
      </c>
    </row>
    <row r="26" ht="15" customHeight="1" s="44">
      <c r="A26" s="48" t="n">
        <v>25</v>
      </c>
      <c r="B26" s="51" t="n">
        <v>4</v>
      </c>
      <c r="C26" s="81">
        <f>SUMIF('Assessment by Facility'!$E$2:$E$135,A26,'Assessment by Facility'!$G$2:$G$135)</f>
        <v/>
      </c>
      <c r="D26" s="81">
        <f>SUMIF('Assessment by Facility'!$E$2:$E$135,A26,'Assessment by Facility'!$J$2:$J$135)</f>
        <v/>
      </c>
      <c r="E26" s="79">
        <f>D26*'Assessment Inputs'!$B$14</f>
        <v/>
      </c>
      <c r="F26" s="79">
        <f>C26*'Assessment Inputs'!$B$14</f>
        <v/>
      </c>
      <c r="G26" s="79">
        <f>E26-F26</f>
        <v/>
      </c>
      <c r="H26" s="79">
        <f>G26*'Assessment Inputs'!$B$12</f>
        <v/>
      </c>
      <c r="I26" s="46" t="inlineStr">
        <is>
          <t>Aurora Behavioral Health System – Glendale</t>
        </is>
      </c>
    </row>
    <row r="27" ht="23.25" customHeight="1" s="44">
      <c r="A27" s="48" t="n">
        <v>26</v>
      </c>
      <c r="B27" s="51" t="n">
        <v>2</v>
      </c>
      <c r="C27" s="81">
        <f>SUMIF('Assessment by Facility'!$E$2:$E$135,A27,'Assessment by Facility'!$G$2:$G$135)</f>
        <v/>
      </c>
      <c r="D27" s="81">
        <f>SUMIF('Assessment by Facility'!$E$2:$E$135,A27,'Assessment by Facility'!$J$2:$J$135)</f>
        <v/>
      </c>
      <c r="E27" s="79">
        <f>D27*'Assessment Inputs'!$B$14</f>
        <v/>
      </c>
      <c r="F27" s="79">
        <f>C27*'Assessment Inputs'!$B$14</f>
        <v/>
      </c>
      <c r="G27" s="79">
        <f>E27-F27</f>
        <v/>
      </c>
      <c r="H27" s="79">
        <f>G27*'Assessment Inputs'!$B$12</f>
        <v/>
      </c>
      <c r="I27" s="46" t="inlineStr">
        <is>
          <t>Abrazo Surprise Hospital; Exceptional Community Hospital – Yuma (Yuma Community Hospital); Onvida Health (Yuma Regional Medical Center); Yuma Rehabilitation Hospital (Encompass Health)</t>
        </is>
      </c>
    </row>
    <row r="28" ht="15" customHeight="1" s="44">
      <c r="A28" s="48" t="n">
        <v>27</v>
      </c>
      <c r="B28" s="51" t="n">
        <v>4</v>
      </c>
      <c r="C28" s="81">
        <f>SUMIF('Assessment by Facility'!$E$2:$E$135,A28,'Assessment by Facility'!$G$2:$G$135)</f>
        <v/>
      </c>
      <c r="D28" s="81">
        <f>SUMIF('Assessment by Facility'!$E$2:$E$135,A28,'Assessment by Facility'!$J$2:$J$135)</f>
        <v/>
      </c>
      <c r="E28" s="79">
        <f>D28*'Assessment Inputs'!$B$14</f>
        <v/>
      </c>
      <c r="F28" s="79">
        <f>C28*'Assessment Inputs'!$B$14</f>
        <v/>
      </c>
      <c r="G28" s="79">
        <f>E28-F28</f>
        <v/>
      </c>
      <c r="H28" s="79">
        <f>G28*'Assessment Inputs'!$B$12</f>
        <v/>
      </c>
      <c r="I28" s="46" t="inlineStr">
        <is>
          <t>Abrazo Central Campus; The CORE Institute Specialty Hospital (The Surgical Hospital of Phoenix)</t>
        </is>
      </c>
    </row>
    <row r="29" ht="23.25" customHeight="1" s="44">
      <c r="A29" s="48" t="n">
        <v>28</v>
      </c>
      <c r="B29" s="51" t="n">
        <v>7</v>
      </c>
      <c r="C29" s="81">
        <f>SUMIF('Assessment by Facility'!$E$2:$E$135,A29,'Assessment by Facility'!$G$2:$G$135)</f>
        <v/>
      </c>
      <c r="D29" s="81">
        <f>SUMIF('Assessment by Facility'!$E$2:$E$135,A29,'Assessment by Facility'!$J$2:$J$135)</f>
        <v/>
      </c>
      <c r="E29" s="79">
        <f>D29*'Assessment Inputs'!$B$14</f>
        <v/>
      </c>
      <c r="F29" s="79">
        <f>C29*'Assessment Inputs'!$B$14</f>
        <v/>
      </c>
      <c r="G29" s="79">
        <f>E29-F29</f>
        <v/>
      </c>
      <c r="H29" s="79">
        <f>G29*'Assessment Inputs'!$B$12</f>
        <v/>
      </c>
      <c r="I29" s="46" t="inlineStr">
        <is>
          <t>Abrazo Arrowhead Campus; Banner Thunderbird Medical Center; Encompass Health Valley of the Sun Rehabilitation Hospital; St. Joseph's Westgate Medical Center</t>
        </is>
      </c>
    </row>
    <row r="30" ht="45.75" customHeight="1" s="44">
      <c r="A30" s="48" t="n">
        <v>29</v>
      </c>
      <c r="B30" s="51" t="n">
        <v>1</v>
      </c>
      <c r="C30" s="81">
        <f>SUMIF('Assessment by Facility'!$E$2:$E$135,A30,'Assessment by Facility'!$G$2:$G$135)</f>
        <v/>
      </c>
      <c r="D30" s="81">
        <f>SUMIF('Assessment by Facility'!$E$2:$E$135,A30,'Assessment by Facility'!$J$2:$J$135)</f>
        <v/>
      </c>
      <c r="E30" s="79">
        <f>D30*'Assessment Inputs'!$B$14</f>
        <v/>
      </c>
      <c r="F30" s="79">
        <f>C30*'Assessment Inputs'!$B$14</f>
        <v/>
      </c>
      <c r="G30" s="79">
        <f>E30-F30</f>
        <v/>
      </c>
      <c r="H30" s="79">
        <f>G30*'Assessment Inputs'!$B$12</f>
        <v/>
      </c>
      <c r="I30" s="46" t="inlineStr">
        <is>
          <t>Banner Boswell Medical Center; Banner Del E. Webb Medical Center; Banner Rehabilitation Hospital West (Peoria); Destiny Springs Healthcare; PAM Health Rehabilitation Hospital of Surprise (formerly Cobalt Rehabilitation Hospital); PAM Health Specialty Hospital (formerly CuraHealth Phoenix Northwest) (closed); Reunion Rehabilitation Hospital Peoria</t>
        </is>
      </c>
    </row>
    <row r="31" ht="15" customHeight="1" s="44">
      <c r="A31" s="48" t="n">
        <v>30</v>
      </c>
      <c r="B31" s="51" t="n">
        <v>9</v>
      </c>
      <c r="C31" s="81">
        <f>SUMIF('Assessment by Facility'!$E$2:$E$135,A31,'Assessment by Facility'!$G$2:$G$135)</f>
        <v/>
      </c>
      <c r="D31" s="81">
        <f>SUMIF('Assessment by Facility'!$E$2:$E$135,A31,'Assessment by Facility'!$J$2:$J$135)</f>
        <v/>
      </c>
      <c r="E31" s="79">
        <f>D31*'Assessment Inputs'!$B$14</f>
        <v/>
      </c>
      <c r="F31" s="79">
        <f>C31*'Assessment Inputs'!$B$14</f>
        <v/>
      </c>
      <c r="G31" s="79">
        <f>E31-F31</f>
        <v/>
      </c>
      <c r="H31" s="79">
        <f>G31*'Assessment Inputs'!$B$12</f>
        <v/>
      </c>
      <c r="I31" s="46" t="inlineStr">
        <is>
          <t>Avenir Behavioral Health Center</t>
        </is>
      </c>
    </row>
    <row r="32" ht="15" customHeight="1" s="44">
      <c r="A32" s="48" t="inlineStr">
        <is>
          <t>Total</t>
        </is>
      </c>
      <c r="B32" s="61">
        <f>SUM(B2:B31)</f>
        <v/>
      </c>
      <c r="C32" s="80">
        <f>SUM(C2:C31)</f>
        <v/>
      </c>
      <c r="D32" s="80">
        <f>SUM(D2:D31)</f>
        <v/>
      </c>
      <c r="E32" s="80">
        <f>SUM(E2:E31)</f>
        <v/>
      </c>
      <c r="F32" s="80">
        <f>SUM(F2:F31)</f>
        <v/>
      </c>
      <c r="G32" s="80">
        <f>SUM(G2:G31)</f>
        <v/>
      </c>
      <c r="H32" s="80">
        <f>SUM(H2:H31)</f>
        <v/>
      </c>
    </row>
    <row r="33"/>
    <row r="34" ht="45" customHeight="1" s="44">
      <c r="A34" s="46" t="inlineStr">
        <is>
          <t>District = location of the facility (street address geocoded to a 2020 census block, mapped to the 2022 IRC district). Hospitals serve patients from many districts; these totals describe where the facilities and their jobs are. LD 5 (central Phoenix) is high because it contains Banner – University Medical Center Phoenix, St. Joseph's, Valleywise, Phoenix Children's, John C. Lincoln and Phoenix Indian Medical Center.</t>
        </is>
      </c>
    </row>
  </sheetData>
  <mergeCells count="1">
    <mergeCell ref="A34:I3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N33"/>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6" customWidth="1" style="43" min="1" max="1"/>
    <col width="12" customWidth="1" style="43" min="2" max="3"/>
    <col width="14" customWidth="1" style="43" min="4" max="4"/>
    <col width="12" customWidth="1" style="43" min="5" max="6"/>
    <col width="14" customWidth="1" style="43" min="7" max="7"/>
    <col width="12" customWidth="1" style="43" min="8" max="9"/>
    <col width="14" customWidth="1" style="43" min="10" max="10"/>
    <col width="12" customWidth="1" style="43" min="11" max="14"/>
  </cols>
  <sheetData>
    <row r="1" ht="48" customHeight="1" s="44">
      <c r="A1" s="50" t="inlineStr">
        <is>
          <t>LD</t>
        </is>
      </c>
      <c r="B1" s="50" t="inlineStr">
        <is>
          <t>Main county</t>
        </is>
      </c>
      <c r="C1" s="50" t="inlineStr">
        <is>
          <t>2020 population</t>
        </is>
      </c>
      <c r="D1" s="50" t="inlineStr">
        <is>
          <t>Primary care physicians (FTE-split)</t>
        </is>
      </c>
      <c r="E1" s="50" t="inlineStr">
        <is>
          <t>All physicians MD/DO</t>
        </is>
      </c>
      <c r="F1" s="50" t="inlineStr">
        <is>
          <t>Psychiatrists</t>
        </is>
      </c>
      <c r="G1" s="50" t="inlineStr">
        <is>
          <t>Behavioral health clinicians</t>
        </is>
      </c>
      <c r="H1" s="50" t="inlineStr">
        <is>
          <t>Nurse practitioners</t>
        </is>
      </c>
      <c r="I1" s="50" t="inlineStr">
        <is>
          <t>Physician assistants</t>
        </is>
      </c>
      <c r="J1" s="50" t="inlineStr">
        <is>
          <t>Primary care physicians per 100k</t>
        </is>
      </c>
      <c r="K1" s="50" t="inlineStr">
        <is>
          <t>Physicians per 100k</t>
        </is>
      </c>
      <c r="L1" s="50" t="inlineStr">
        <is>
          <t>Psychiatrists per 100k</t>
        </is>
      </c>
      <c r="M1" s="50" t="inlineStr">
        <is>
          <t>Behavioral health per 100k</t>
        </is>
      </c>
      <c r="N1" s="50" t="inlineStr">
        <is>
          <t>NPs + PAs per 100k</t>
        </is>
      </c>
    </row>
    <row r="2" ht="15" customHeight="1" s="44">
      <c r="A2" s="82" t="n">
        <v>1</v>
      </c>
      <c r="B2" s="51" t="inlineStr">
        <is>
          <t>Yavapai</t>
        </is>
      </c>
      <c r="C2" s="82" t="n">
        <v>237896</v>
      </c>
      <c r="D2" s="70" t="n">
        <v>84.2</v>
      </c>
      <c r="E2" s="70" t="n">
        <v>342.2</v>
      </c>
      <c r="F2" s="70" t="n">
        <v>6.5</v>
      </c>
      <c r="G2" s="70" t="n">
        <v>85.59999999999999</v>
      </c>
      <c r="H2" s="70" t="n">
        <v>213.6</v>
      </c>
      <c r="I2" s="70" t="n">
        <v>111.8</v>
      </c>
      <c r="J2" s="70" t="n">
        <v>35.4</v>
      </c>
      <c r="K2" s="70" t="n">
        <v>143.8</v>
      </c>
      <c r="L2" s="70" t="n">
        <v>2.7</v>
      </c>
      <c r="M2" s="70" t="n">
        <v>36</v>
      </c>
      <c r="N2" s="70" t="n">
        <v>136.8</v>
      </c>
    </row>
    <row r="3" ht="15" customHeight="1" s="44">
      <c r="A3" s="82" t="n">
        <v>2</v>
      </c>
      <c r="B3" s="51" t="inlineStr">
        <is>
          <t>Maricopa</t>
        </is>
      </c>
      <c r="C3" s="82" t="n">
        <v>246674</v>
      </c>
      <c r="D3" s="70" t="n">
        <v>112.4</v>
      </c>
      <c r="E3" s="70" t="n">
        <v>428.7</v>
      </c>
      <c r="F3" s="70" t="n">
        <v>10.9</v>
      </c>
      <c r="G3" s="70" t="n">
        <v>104.8</v>
      </c>
      <c r="H3" s="70" t="n">
        <v>213.3</v>
      </c>
      <c r="I3" s="70" t="n">
        <v>105.4</v>
      </c>
      <c r="J3" s="70" t="n">
        <v>45.6</v>
      </c>
      <c r="K3" s="70" t="n">
        <v>173.8</v>
      </c>
      <c r="L3" s="70" t="n">
        <v>4.4</v>
      </c>
      <c r="M3" s="70" t="n">
        <v>42.5</v>
      </c>
      <c r="N3" s="70" t="n">
        <v>129.2</v>
      </c>
    </row>
    <row r="4" ht="15" customHeight="1" s="44">
      <c r="A4" s="82" t="n">
        <v>3</v>
      </c>
      <c r="B4" s="51" t="inlineStr">
        <is>
          <t>Maricopa</t>
        </is>
      </c>
      <c r="C4" s="82" t="n">
        <v>236955</v>
      </c>
      <c r="D4" s="70" t="n">
        <v>173.7</v>
      </c>
      <c r="E4" s="70" t="n">
        <v>1159.4</v>
      </c>
      <c r="F4" s="70" t="n">
        <v>14.7</v>
      </c>
      <c r="G4" s="70" t="n">
        <v>86.09999999999999</v>
      </c>
      <c r="H4" s="70" t="n">
        <v>331.4</v>
      </c>
      <c r="I4" s="70" t="n">
        <v>251.5</v>
      </c>
      <c r="J4" s="70" t="n">
        <v>73.3</v>
      </c>
      <c r="K4" s="70" t="n">
        <v>489.3</v>
      </c>
      <c r="L4" s="70" t="n">
        <v>6.2</v>
      </c>
      <c r="M4" s="70" t="n">
        <v>36.3</v>
      </c>
      <c r="N4" s="70" t="n">
        <v>245.9</v>
      </c>
    </row>
    <row r="5" ht="15" customHeight="1" s="44">
      <c r="A5" s="82" t="n">
        <v>4</v>
      </c>
      <c r="B5" s="51" t="inlineStr">
        <is>
          <t>Maricopa</t>
        </is>
      </c>
      <c r="C5" s="82" t="n">
        <v>244298</v>
      </c>
      <c r="D5" s="70" t="n">
        <v>270.6</v>
      </c>
      <c r="E5" s="70" t="n">
        <v>1221.4</v>
      </c>
      <c r="F5" s="70" t="n">
        <v>34.6</v>
      </c>
      <c r="G5" s="70" t="n">
        <v>240.4</v>
      </c>
      <c r="H5" s="70" t="n">
        <v>400.4</v>
      </c>
      <c r="I5" s="70" t="n">
        <v>338.3</v>
      </c>
      <c r="J5" s="70" t="n">
        <v>110.8</v>
      </c>
      <c r="K5" s="70" t="n">
        <v>500</v>
      </c>
      <c r="L5" s="70" t="n">
        <v>14.2</v>
      </c>
      <c r="M5" s="70" t="n">
        <v>98.40000000000001</v>
      </c>
      <c r="N5" s="70" t="n">
        <v>302.4</v>
      </c>
    </row>
    <row r="6" ht="15" customHeight="1" s="44">
      <c r="A6" s="82" t="n">
        <v>5</v>
      </c>
      <c r="B6" s="51" t="inlineStr">
        <is>
          <t>Maricopa</t>
        </is>
      </c>
      <c r="C6" s="82" t="n">
        <v>239088</v>
      </c>
      <c r="D6" s="70" t="n">
        <v>555.8</v>
      </c>
      <c r="E6" s="70" t="n">
        <v>2050.8</v>
      </c>
      <c r="F6" s="70" t="n">
        <v>59</v>
      </c>
      <c r="G6" s="70" t="n">
        <v>435</v>
      </c>
      <c r="H6" s="70" t="n">
        <v>711.9</v>
      </c>
      <c r="I6" s="70" t="n">
        <v>301.6</v>
      </c>
      <c r="J6" s="70" t="n">
        <v>232.5</v>
      </c>
      <c r="K6" s="70" t="n">
        <v>857.8</v>
      </c>
      <c r="L6" s="70" t="n">
        <v>24.7</v>
      </c>
      <c r="M6" s="70" t="n">
        <v>181.9</v>
      </c>
      <c r="N6" s="70" t="n">
        <v>424</v>
      </c>
    </row>
    <row r="7" ht="15" customHeight="1" s="44">
      <c r="A7" s="82" t="n">
        <v>6</v>
      </c>
      <c r="B7" s="51" t="inlineStr">
        <is>
          <t>Coconino</t>
        </is>
      </c>
      <c r="C7" s="82" t="n">
        <v>225474</v>
      </c>
      <c r="D7" s="70" t="n">
        <v>247.3</v>
      </c>
      <c r="E7" s="70" t="n">
        <v>774.9</v>
      </c>
      <c r="F7" s="70" t="n">
        <v>27.7</v>
      </c>
      <c r="G7" s="70" t="n">
        <v>70.2</v>
      </c>
      <c r="H7" s="70" t="n">
        <v>238.9</v>
      </c>
      <c r="I7" s="70" t="n">
        <v>88.5</v>
      </c>
      <c r="J7" s="70" t="n">
        <v>109.7</v>
      </c>
      <c r="K7" s="70" t="n">
        <v>343.7</v>
      </c>
      <c r="L7" s="70" t="n">
        <v>12.3</v>
      </c>
      <c r="M7" s="70" t="n">
        <v>31.1</v>
      </c>
      <c r="N7" s="70" t="n">
        <v>145.2</v>
      </c>
    </row>
    <row r="8" ht="15" customHeight="1" s="44">
      <c r="A8" s="82" t="n">
        <v>7</v>
      </c>
      <c r="B8" s="51" t="inlineStr">
        <is>
          <t>Pinal</t>
        </is>
      </c>
      <c r="C8" s="82" t="n">
        <v>240214</v>
      </c>
      <c r="D8" s="70" t="n">
        <v>94.5</v>
      </c>
      <c r="E8" s="70" t="n">
        <v>392.6</v>
      </c>
      <c r="F8" s="70" t="n">
        <v>8.6</v>
      </c>
      <c r="G8" s="70" t="n">
        <v>47.7</v>
      </c>
      <c r="H8" s="70" t="n">
        <v>147</v>
      </c>
      <c r="I8" s="70" t="n">
        <v>72.2</v>
      </c>
      <c r="J8" s="70" t="n">
        <v>39.3</v>
      </c>
      <c r="K8" s="70" t="n">
        <v>163.4</v>
      </c>
      <c r="L8" s="70" t="n">
        <v>3.6</v>
      </c>
      <c r="M8" s="70" t="n">
        <v>19.9</v>
      </c>
      <c r="N8" s="70" t="n">
        <v>91.3</v>
      </c>
    </row>
    <row r="9" ht="15" customHeight="1" s="44">
      <c r="A9" s="82" t="n">
        <v>8</v>
      </c>
      <c r="B9" s="51" t="inlineStr">
        <is>
          <t>Maricopa</t>
        </is>
      </c>
      <c r="C9" s="82" t="n">
        <v>244166</v>
      </c>
      <c r="D9" s="70" t="n">
        <v>142.2</v>
      </c>
      <c r="E9" s="70" t="n">
        <v>594</v>
      </c>
      <c r="F9" s="70" t="n">
        <v>57.4</v>
      </c>
      <c r="G9" s="70" t="n">
        <v>955.9</v>
      </c>
      <c r="H9" s="70" t="n">
        <v>369.9</v>
      </c>
      <c r="I9" s="70" t="n">
        <v>158.2</v>
      </c>
      <c r="J9" s="70" t="n">
        <v>58.2</v>
      </c>
      <c r="K9" s="70" t="n">
        <v>243.3</v>
      </c>
      <c r="L9" s="70" t="n">
        <v>23.5</v>
      </c>
      <c r="M9" s="70" t="n">
        <v>391.5</v>
      </c>
      <c r="N9" s="70" t="n">
        <v>216.3</v>
      </c>
    </row>
    <row r="10" ht="15" customHeight="1" s="44">
      <c r="A10" s="82" t="n">
        <v>9</v>
      </c>
      <c r="B10" s="51" t="inlineStr">
        <is>
          <t>Maricopa</t>
        </is>
      </c>
      <c r="C10" s="82" t="n">
        <v>238117</v>
      </c>
      <c r="D10" s="70" t="n">
        <v>133.2</v>
      </c>
      <c r="E10" s="70" t="n">
        <v>479.4</v>
      </c>
      <c r="F10" s="70" t="n">
        <v>28</v>
      </c>
      <c r="G10" s="70" t="n">
        <v>107.8</v>
      </c>
      <c r="H10" s="70" t="n">
        <v>219.2</v>
      </c>
      <c r="I10" s="70" t="n">
        <v>91.09999999999999</v>
      </c>
      <c r="J10" s="70" t="n">
        <v>55.9</v>
      </c>
      <c r="K10" s="70" t="n">
        <v>201.3</v>
      </c>
      <c r="L10" s="70" t="n">
        <v>11.8</v>
      </c>
      <c r="M10" s="70" t="n">
        <v>45.3</v>
      </c>
      <c r="N10" s="70" t="n">
        <v>130.3</v>
      </c>
    </row>
    <row r="11" ht="15" customHeight="1" s="44">
      <c r="A11" s="82" t="n">
        <v>10</v>
      </c>
      <c r="B11" s="51" t="inlineStr">
        <is>
          <t>Maricopa</t>
        </is>
      </c>
      <c r="C11" s="82" t="n">
        <v>235579</v>
      </c>
      <c r="D11" s="70" t="n">
        <v>116.2</v>
      </c>
      <c r="E11" s="70" t="n">
        <v>420.2</v>
      </c>
      <c r="F11" s="70" t="n">
        <v>3.2</v>
      </c>
      <c r="G11" s="70" t="n">
        <v>50.8</v>
      </c>
      <c r="H11" s="70" t="n">
        <v>236.3</v>
      </c>
      <c r="I11" s="70" t="n">
        <v>105.2</v>
      </c>
      <c r="J11" s="70" t="n">
        <v>49.3</v>
      </c>
      <c r="K11" s="70" t="n">
        <v>178.4</v>
      </c>
      <c r="L11" s="70" t="n">
        <v>1.4</v>
      </c>
      <c r="M11" s="70" t="n">
        <v>21.5</v>
      </c>
      <c r="N11" s="70" t="n">
        <v>145</v>
      </c>
    </row>
    <row r="12" ht="15" customHeight="1" s="44">
      <c r="A12" s="82" t="n">
        <v>11</v>
      </c>
      <c r="B12" s="51" t="inlineStr">
        <is>
          <t>Maricopa</t>
        </is>
      </c>
      <c r="C12" s="82" t="n">
        <v>237844</v>
      </c>
      <c r="D12" s="70" t="n">
        <v>71.3</v>
      </c>
      <c r="E12" s="70" t="n">
        <v>292</v>
      </c>
      <c r="F12" s="70" t="n">
        <v>11.7</v>
      </c>
      <c r="G12" s="70" t="n">
        <v>60.8</v>
      </c>
      <c r="H12" s="70" t="n">
        <v>161</v>
      </c>
      <c r="I12" s="70" t="n">
        <v>69</v>
      </c>
      <c r="J12" s="70" t="n">
        <v>30</v>
      </c>
      <c r="K12" s="70" t="n">
        <v>122.8</v>
      </c>
      <c r="L12" s="70" t="n">
        <v>4.9</v>
      </c>
      <c r="M12" s="70" t="n">
        <v>25.6</v>
      </c>
      <c r="N12" s="70" t="n">
        <v>96.7</v>
      </c>
    </row>
    <row r="13" ht="15" customHeight="1" s="44">
      <c r="A13" s="82" t="n">
        <v>12</v>
      </c>
      <c r="B13" s="51" t="inlineStr">
        <is>
          <t>Maricopa</t>
        </is>
      </c>
      <c r="C13" s="82" t="n">
        <v>238923</v>
      </c>
      <c r="D13" s="70" t="n">
        <v>146.7</v>
      </c>
      <c r="E13" s="70" t="n">
        <v>451.9</v>
      </c>
      <c r="F13" s="70" t="n">
        <v>33.5</v>
      </c>
      <c r="G13" s="70" t="n">
        <v>99.40000000000001</v>
      </c>
      <c r="H13" s="70" t="n">
        <v>223.1</v>
      </c>
      <c r="I13" s="70" t="n">
        <v>120.7</v>
      </c>
      <c r="J13" s="70" t="n">
        <v>61.4</v>
      </c>
      <c r="K13" s="70" t="n">
        <v>189.1</v>
      </c>
      <c r="L13" s="70" t="n">
        <v>14</v>
      </c>
      <c r="M13" s="70" t="n">
        <v>41.6</v>
      </c>
      <c r="N13" s="70" t="n">
        <v>143.9</v>
      </c>
    </row>
    <row r="14" ht="15" customHeight="1" s="44">
      <c r="A14" s="82" t="n">
        <v>13</v>
      </c>
      <c r="B14" s="51" t="inlineStr">
        <is>
          <t>Maricopa</t>
        </is>
      </c>
      <c r="C14" s="82" t="n">
        <v>237866</v>
      </c>
      <c r="D14" s="70" t="n">
        <v>96.90000000000001</v>
      </c>
      <c r="E14" s="70" t="n">
        <v>355.5</v>
      </c>
      <c r="F14" s="70" t="n">
        <v>7.6</v>
      </c>
      <c r="G14" s="70" t="n">
        <v>64.09999999999999</v>
      </c>
      <c r="H14" s="70" t="n">
        <v>183.2</v>
      </c>
      <c r="I14" s="70" t="n">
        <v>87.5</v>
      </c>
      <c r="J14" s="70" t="n">
        <v>40.8</v>
      </c>
      <c r="K14" s="70" t="n">
        <v>149.4</v>
      </c>
      <c r="L14" s="70" t="n">
        <v>3.2</v>
      </c>
      <c r="M14" s="70" t="n">
        <v>27</v>
      </c>
      <c r="N14" s="70" t="n">
        <v>113.8</v>
      </c>
    </row>
    <row r="15" ht="15" customHeight="1" s="44">
      <c r="A15" s="82" t="n">
        <v>14</v>
      </c>
      <c r="B15" s="51" t="inlineStr">
        <is>
          <t>Maricopa</t>
        </is>
      </c>
      <c r="C15" s="82" t="n">
        <v>241692</v>
      </c>
      <c r="D15" s="70" t="n">
        <v>107.1</v>
      </c>
      <c r="E15" s="70" t="n">
        <v>493.3</v>
      </c>
      <c r="F15" s="70" t="n">
        <v>14.7</v>
      </c>
      <c r="G15" s="70" t="n">
        <v>59.1</v>
      </c>
      <c r="H15" s="70" t="n">
        <v>291.2</v>
      </c>
      <c r="I15" s="70" t="n">
        <v>187.5</v>
      </c>
      <c r="J15" s="70" t="n">
        <v>44.3</v>
      </c>
      <c r="K15" s="70" t="n">
        <v>204.1</v>
      </c>
      <c r="L15" s="70" t="n">
        <v>6.1</v>
      </c>
      <c r="M15" s="70" t="n">
        <v>24.5</v>
      </c>
      <c r="N15" s="70" t="n">
        <v>198.1</v>
      </c>
    </row>
    <row r="16" ht="15" customHeight="1" s="44">
      <c r="A16" s="82" t="n">
        <v>15</v>
      </c>
      <c r="B16" s="51" t="inlineStr">
        <is>
          <t>Maricopa</t>
        </is>
      </c>
      <c r="C16" s="82" t="n">
        <v>240028</v>
      </c>
      <c r="D16" s="70" t="n">
        <v>66.3</v>
      </c>
      <c r="E16" s="70" t="n">
        <v>165.9</v>
      </c>
      <c r="F16" s="70" t="n">
        <v>0.3</v>
      </c>
      <c r="G16" s="70" t="n">
        <v>22.3</v>
      </c>
      <c r="H16" s="70" t="n">
        <v>153.2</v>
      </c>
      <c r="I16" s="70" t="n">
        <v>68.3</v>
      </c>
      <c r="J16" s="70" t="n">
        <v>27.6</v>
      </c>
      <c r="K16" s="70" t="n">
        <v>69.09999999999999</v>
      </c>
      <c r="L16" s="70" t="n">
        <v>0.1</v>
      </c>
      <c r="M16" s="70" t="n">
        <v>9.300000000000001</v>
      </c>
      <c r="N16" s="70" t="n">
        <v>92.2</v>
      </c>
    </row>
    <row r="17" ht="15" customHeight="1" s="44">
      <c r="A17" s="82" t="n">
        <v>16</v>
      </c>
      <c r="B17" s="51" t="inlineStr">
        <is>
          <t>Pinal</t>
        </is>
      </c>
      <c r="C17" s="82" t="n">
        <v>236940</v>
      </c>
      <c r="D17" s="70" t="n">
        <v>112.9</v>
      </c>
      <c r="E17" s="70" t="n">
        <v>288</v>
      </c>
      <c r="F17" s="70" t="n">
        <v>13.1</v>
      </c>
      <c r="G17" s="70" t="n">
        <v>47.8</v>
      </c>
      <c r="H17" s="70" t="n">
        <v>185.3</v>
      </c>
      <c r="I17" s="70" t="n">
        <v>59.1</v>
      </c>
      <c r="J17" s="70" t="n">
        <v>47.6</v>
      </c>
      <c r="K17" s="70" t="n">
        <v>121.5</v>
      </c>
      <c r="L17" s="70" t="n">
        <v>5.5</v>
      </c>
      <c r="M17" s="70" t="n">
        <v>20.2</v>
      </c>
      <c r="N17" s="70" t="n">
        <v>103.1</v>
      </c>
    </row>
    <row r="18" ht="15" customHeight="1" s="44">
      <c r="A18" s="82" t="n">
        <v>17</v>
      </c>
      <c r="B18" s="51" t="inlineStr">
        <is>
          <t>Pima</t>
        </is>
      </c>
      <c r="C18" s="82" t="n">
        <v>239669</v>
      </c>
      <c r="D18" s="70" t="n">
        <v>105.9</v>
      </c>
      <c r="E18" s="70" t="n">
        <v>324.6</v>
      </c>
      <c r="F18" s="70" t="n">
        <v>7.8</v>
      </c>
      <c r="G18" s="70" t="n">
        <v>64.2</v>
      </c>
      <c r="H18" s="70" t="n">
        <v>176.9</v>
      </c>
      <c r="I18" s="70" t="n">
        <v>39.4</v>
      </c>
      <c r="J18" s="70" t="n">
        <v>44.2</v>
      </c>
      <c r="K18" s="70" t="n">
        <v>135.4</v>
      </c>
      <c r="L18" s="70" t="n">
        <v>3.2</v>
      </c>
      <c r="M18" s="70" t="n">
        <v>26.8</v>
      </c>
      <c r="N18" s="70" t="n">
        <v>90.3</v>
      </c>
    </row>
    <row r="19" ht="15" customHeight="1" s="44">
      <c r="A19" s="82" t="n">
        <v>18</v>
      </c>
      <c r="B19" s="51" t="inlineStr">
        <is>
          <t>Pima</t>
        </is>
      </c>
      <c r="C19" s="82" t="n">
        <v>243411</v>
      </c>
      <c r="D19" s="70" t="n">
        <v>269.4</v>
      </c>
      <c r="E19" s="70" t="n">
        <v>1015.2</v>
      </c>
      <c r="F19" s="70" t="n">
        <v>35.5</v>
      </c>
      <c r="G19" s="70" t="n">
        <v>213.6</v>
      </c>
      <c r="H19" s="70" t="n">
        <v>473</v>
      </c>
      <c r="I19" s="70" t="n">
        <v>118.5</v>
      </c>
      <c r="J19" s="70" t="n">
        <v>110.7</v>
      </c>
      <c r="K19" s="70" t="n">
        <v>417.1</v>
      </c>
      <c r="L19" s="70" t="n">
        <v>14.6</v>
      </c>
      <c r="M19" s="70" t="n">
        <v>87.8</v>
      </c>
      <c r="N19" s="70" t="n">
        <v>243</v>
      </c>
    </row>
    <row r="20" ht="15" customHeight="1" s="44">
      <c r="A20" s="82" t="n">
        <v>19</v>
      </c>
      <c r="B20" s="51" t="inlineStr">
        <is>
          <t>Cochise</t>
        </is>
      </c>
      <c r="C20" s="82" t="n">
        <v>230476</v>
      </c>
      <c r="D20" s="70" t="n">
        <v>81.5</v>
      </c>
      <c r="E20" s="70" t="n">
        <v>274.9</v>
      </c>
      <c r="F20" s="70" t="n">
        <v>16</v>
      </c>
      <c r="G20" s="70" t="n">
        <v>56.3</v>
      </c>
      <c r="H20" s="70" t="n">
        <v>161.7</v>
      </c>
      <c r="I20" s="70" t="n">
        <v>39.6</v>
      </c>
      <c r="J20" s="70" t="n">
        <v>35.4</v>
      </c>
      <c r="K20" s="70" t="n">
        <v>119.3</v>
      </c>
      <c r="L20" s="70" t="n">
        <v>6.9</v>
      </c>
      <c r="M20" s="70" t="n">
        <v>24.4</v>
      </c>
      <c r="N20" s="70" t="n">
        <v>87.40000000000001</v>
      </c>
    </row>
    <row r="21" ht="15" customHeight="1" s="44">
      <c r="A21" s="82" t="n">
        <v>20</v>
      </c>
      <c r="B21" s="51" t="inlineStr">
        <is>
          <t>Pima</t>
        </is>
      </c>
      <c r="C21" s="82" t="n">
        <v>238486</v>
      </c>
      <c r="D21" s="70" t="n">
        <v>218.6</v>
      </c>
      <c r="E21" s="70" t="n">
        <v>773.6</v>
      </c>
      <c r="F21" s="70" t="n">
        <v>30.1</v>
      </c>
      <c r="G21" s="70" t="n">
        <v>109.8</v>
      </c>
      <c r="H21" s="70" t="n">
        <v>278.9</v>
      </c>
      <c r="I21" s="70" t="n">
        <v>54.4</v>
      </c>
      <c r="J21" s="70" t="n">
        <v>91.7</v>
      </c>
      <c r="K21" s="70" t="n">
        <v>324.4</v>
      </c>
      <c r="L21" s="70" t="n">
        <v>12.6</v>
      </c>
      <c r="M21" s="70" t="n">
        <v>46</v>
      </c>
      <c r="N21" s="70" t="n">
        <v>139.7</v>
      </c>
    </row>
    <row r="22" ht="15" customHeight="1" s="44">
      <c r="A22" s="82" t="n">
        <v>21</v>
      </c>
      <c r="B22" s="51" t="inlineStr">
        <is>
          <t>Pima</t>
        </is>
      </c>
      <c r="C22" s="82" t="n">
        <v>244412</v>
      </c>
      <c r="D22" s="70" t="n">
        <v>119.2</v>
      </c>
      <c r="E22" s="70" t="n">
        <v>341.1</v>
      </c>
      <c r="F22" s="70" t="n">
        <v>16.1</v>
      </c>
      <c r="G22" s="70" t="n">
        <v>65.40000000000001</v>
      </c>
      <c r="H22" s="70" t="n">
        <v>145.8</v>
      </c>
      <c r="I22" s="70" t="n">
        <v>36.5</v>
      </c>
      <c r="J22" s="70" t="n">
        <v>48.8</v>
      </c>
      <c r="K22" s="70" t="n">
        <v>139.6</v>
      </c>
      <c r="L22" s="70" t="n">
        <v>6.6</v>
      </c>
      <c r="M22" s="70" t="n">
        <v>26.7</v>
      </c>
      <c r="N22" s="70" t="n">
        <v>74.59999999999999</v>
      </c>
    </row>
    <row r="23" ht="15" customHeight="1" s="44">
      <c r="A23" s="82" t="n">
        <v>22</v>
      </c>
      <c r="B23" s="51" t="inlineStr">
        <is>
          <t>Maricopa</t>
        </is>
      </c>
      <c r="C23" s="82" t="n">
        <v>238320</v>
      </c>
      <c r="D23" s="70" t="n">
        <v>76.90000000000001</v>
      </c>
      <c r="E23" s="70" t="n">
        <v>243.7</v>
      </c>
      <c r="F23" s="70" t="n">
        <v>4.4</v>
      </c>
      <c r="G23" s="70" t="n">
        <v>33.8</v>
      </c>
      <c r="H23" s="70" t="n">
        <v>144.4</v>
      </c>
      <c r="I23" s="70" t="n">
        <v>71.8</v>
      </c>
      <c r="J23" s="70" t="n">
        <v>32.3</v>
      </c>
      <c r="K23" s="70" t="n">
        <v>102.3</v>
      </c>
      <c r="L23" s="70" t="n">
        <v>1.8</v>
      </c>
      <c r="M23" s="70" t="n">
        <v>14.2</v>
      </c>
      <c r="N23" s="70" t="n">
        <v>90.7</v>
      </c>
    </row>
    <row r="24" ht="15" customHeight="1" s="44">
      <c r="A24" s="82" t="n">
        <v>23</v>
      </c>
      <c r="B24" s="51" t="inlineStr">
        <is>
          <t>Yuma</t>
        </is>
      </c>
      <c r="C24" s="82" t="n">
        <v>232246</v>
      </c>
      <c r="D24" s="70" t="n">
        <v>117.8</v>
      </c>
      <c r="E24" s="70" t="n">
        <v>468.7</v>
      </c>
      <c r="F24" s="70" t="n">
        <v>4.6</v>
      </c>
      <c r="G24" s="70" t="n">
        <v>29</v>
      </c>
      <c r="H24" s="70" t="n">
        <v>211.6</v>
      </c>
      <c r="I24" s="70" t="n">
        <v>74.40000000000001</v>
      </c>
      <c r="J24" s="70" t="n">
        <v>50.7</v>
      </c>
      <c r="K24" s="70" t="n">
        <v>201.8</v>
      </c>
      <c r="L24" s="70" t="n">
        <v>2</v>
      </c>
      <c r="M24" s="70" t="n">
        <v>12.5</v>
      </c>
      <c r="N24" s="70" t="n">
        <v>123.1</v>
      </c>
    </row>
    <row r="25" ht="15" customHeight="1" s="44">
      <c r="A25" s="82" t="n">
        <v>24</v>
      </c>
      <c r="B25" s="51" t="inlineStr">
        <is>
          <t>Maricopa</t>
        </is>
      </c>
      <c r="C25" s="82" t="n">
        <v>234992</v>
      </c>
      <c r="D25" s="70" t="n">
        <v>21.7</v>
      </c>
      <c r="E25" s="70" t="n">
        <v>48.6</v>
      </c>
      <c r="F25" s="70" t="n">
        <v>14.6</v>
      </c>
      <c r="G25" s="70" t="n">
        <v>25.2</v>
      </c>
      <c r="H25" s="70" t="n">
        <v>63.8</v>
      </c>
      <c r="I25" s="70" t="n">
        <v>14.8</v>
      </c>
      <c r="J25" s="70" t="n">
        <v>9.199999999999999</v>
      </c>
      <c r="K25" s="70" t="n">
        <v>20.7</v>
      </c>
      <c r="L25" s="70" t="n">
        <v>6.2</v>
      </c>
      <c r="M25" s="70" t="n">
        <v>10.7</v>
      </c>
      <c r="N25" s="70" t="n">
        <v>33.4</v>
      </c>
    </row>
    <row r="26" ht="15" customHeight="1" s="44">
      <c r="A26" s="82" t="n">
        <v>25</v>
      </c>
      <c r="B26" s="51" t="inlineStr">
        <is>
          <t>Maricopa</t>
        </is>
      </c>
      <c r="C26" s="82" t="n">
        <v>243005</v>
      </c>
      <c r="D26" s="70" t="n">
        <v>44.7</v>
      </c>
      <c r="E26" s="70" t="n">
        <v>130.6</v>
      </c>
      <c r="F26" s="70" t="n">
        <v>3.2</v>
      </c>
      <c r="G26" s="70" t="n">
        <v>36</v>
      </c>
      <c r="H26" s="70" t="n">
        <v>112.3</v>
      </c>
      <c r="I26" s="70" t="n">
        <v>26.1</v>
      </c>
      <c r="J26" s="70" t="n">
        <v>18.4</v>
      </c>
      <c r="K26" s="70" t="n">
        <v>53.8</v>
      </c>
      <c r="L26" s="70" t="n">
        <v>1.3</v>
      </c>
      <c r="M26" s="70" t="n">
        <v>14.8</v>
      </c>
      <c r="N26" s="70" t="n">
        <v>56.9</v>
      </c>
    </row>
    <row r="27" ht="15" customHeight="1" s="44">
      <c r="A27" s="82" t="n">
        <v>26</v>
      </c>
      <c r="B27" s="51" t="inlineStr">
        <is>
          <t>Maricopa</t>
        </is>
      </c>
      <c r="C27" s="82" t="n">
        <v>237193</v>
      </c>
      <c r="D27" s="70" t="n">
        <v>60</v>
      </c>
      <c r="E27" s="70" t="n">
        <v>143.3</v>
      </c>
      <c r="F27" s="70" t="n">
        <v>14.7</v>
      </c>
      <c r="G27" s="70" t="n">
        <v>39.2</v>
      </c>
      <c r="H27" s="70" t="n">
        <v>112.6</v>
      </c>
      <c r="I27" s="70" t="n">
        <v>40.4</v>
      </c>
      <c r="J27" s="70" t="n">
        <v>25.3</v>
      </c>
      <c r="K27" s="70" t="n">
        <v>60.4</v>
      </c>
      <c r="L27" s="70" t="n">
        <v>6.2</v>
      </c>
      <c r="M27" s="70" t="n">
        <v>16.5</v>
      </c>
      <c r="N27" s="70" t="n">
        <v>64.59999999999999</v>
      </c>
    </row>
    <row r="28" ht="15" customHeight="1" s="44">
      <c r="A28" s="82" t="n">
        <v>27</v>
      </c>
      <c r="B28" s="51" t="inlineStr">
        <is>
          <t>Maricopa</t>
        </is>
      </c>
      <c r="C28" s="82" t="n">
        <v>240634</v>
      </c>
      <c r="D28" s="70" t="n">
        <v>217.5</v>
      </c>
      <c r="E28" s="70" t="n">
        <v>686.7</v>
      </c>
      <c r="F28" s="70" t="n">
        <v>15.3</v>
      </c>
      <c r="G28" s="70" t="n">
        <v>111.8</v>
      </c>
      <c r="H28" s="70" t="n">
        <v>322.3</v>
      </c>
      <c r="I28" s="70" t="n">
        <v>147.4</v>
      </c>
      <c r="J28" s="70" t="n">
        <v>90.40000000000001</v>
      </c>
      <c r="K28" s="70" t="n">
        <v>285.4</v>
      </c>
      <c r="L28" s="70" t="n">
        <v>6.4</v>
      </c>
      <c r="M28" s="70" t="n">
        <v>46.5</v>
      </c>
      <c r="N28" s="70" t="n">
        <v>195.2</v>
      </c>
    </row>
    <row r="29" ht="15" customHeight="1" s="44">
      <c r="A29" s="82" t="n">
        <v>28</v>
      </c>
      <c r="B29" s="51" t="inlineStr">
        <is>
          <t>Maricopa</t>
        </is>
      </c>
      <c r="C29" s="82" t="n">
        <v>228803</v>
      </c>
      <c r="D29" s="70" t="n">
        <v>177.7</v>
      </c>
      <c r="E29" s="70" t="n">
        <v>524.3</v>
      </c>
      <c r="F29" s="70" t="n">
        <v>13.2</v>
      </c>
      <c r="G29" s="70" t="n">
        <v>63.6</v>
      </c>
      <c r="H29" s="70" t="n">
        <v>213.6</v>
      </c>
      <c r="I29" s="70" t="n">
        <v>177.9</v>
      </c>
      <c r="J29" s="70" t="n">
        <v>77.7</v>
      </c>
      <c r="K29" s="70" t="n">
        <v>229.2</v>
      </c>
      <c r="L29" s="70" t="n">
        <v>5.8</v>
      </c>
      <c r="M29" s="70" t="n">
        <v>27.8</v>
      </c>
      <c r="N29" s="70" t="n">
        <v>171</v>
      </c>
    </row>
    <row r="30" ht="15" customHeight="1" s="44">
      <c r="A30" s="82" t="n">
        <v>29</v>
      </c>
      <c r="B30" s="51" t="inlineStr">
        <is>
          <t>Maricopa</t>
        </is>
      </c>
      <c r="C30" s="82" t="n">
        <v>240102</v>
      </c>
      <c r="D30" s="70" t="n">
        <v>90.8</v>
      </c>
      <c r="E30" s="70" t="n">
        <v>230.8</v>
      </c>
      <c r="F30" s="70" t="n">
        <v>4.8</v>
      </c>
      <c r="G30" s="70" t="n">
        <v>47.5</v>
      </c>
      <c r="H30" s="70" t="n">
        <v>210.4</v>
      </c>
      <c r="I30" s="70" t="n">
        <v>85.59999999999999</v>
      </c>
      <c r="J30" s="70" t="n">
        <v>37.8</v>
      </c>
      <c r="K30" s="70" t="n">
        <v>96.09999999999999</v>
      </c>
      <c r="L30" s="70" t="n">
        <v>2</v>
      </c>
      <c r="M30" s="70" t="n">
        <v>19.8</v>
      </c>
      <c r="N30" s="70" t="n">
        <v>123.2</v>
      </c>
    </row>
    <row r="31" ht="15" customHeight="1" s="44">
      <c r="A31" s="82" t="n">
        <v>30</v>
      </c>
      <c r="B31" s="51" t="inlineStr">
        <is>
          <t>Mohave</t>
        </is>
      </c>
      <c r="C31" s="82" t="n">
        <v>237999</v>
      </c>
      <c r="D31" s="70" t="n">
        <v>144.8</v>
      </c>
      <c r="E31" s="70" t="n">
        <v>600.5</v>
      </c>
      <c r="F31" s="70" t="n">
        <v>7.2</v>
      </c>
      <c r="G31" s="70" t="n">
        <v>31.3</v>
      </c>
      <c r="H31" s="70" t="n">
        <v>227.4</v>
      </c>
      <c r="I31" s="70" t="n">
        <v>72.5</v>
      </c>
      <c r="J31" s="70" t="n">
        <v>60.9</v>
      </c>
      <c r="K31" s="70" t="n">
        <v>252.3</v>
      </c>
      <c r="L31" s="70" t="n">
        <v>3</v>
      </c>
      <c r="M31" s="70" t="n">
        <v>13.2</v>
      </c>
      <c r="N31" s="70" t="n">
        <v>126</v>
      </c>
    </row>
    <row r="32"/>
    <row r="33" ht="109.5" customHeight="1" s="44">
      <c r="A33" s="46" t="inlineStr">
        <is>
          <t>Source: CMS Doctors and Clinicians National Downloadable File (https://data.cms.gov/provider-data/dataset/mj5m-pzi6), data refreshed July 31 2026; Arizona practice-location rows (70,180; 35,922 clinicians). Each clinician counted once per practice ZIP and split equally across their locations; ZIP mapped to ZCTA (UDS Mapper 2022) and allocated to 2022 legislative districts by 2020 block population. Primary care = family practice, internal medicine, general practice, pediatric medicine, geriatric medicine with MD/DO credential. Behavioral health = psychiatry, clinical psychologist, clinical social worker, mental health counselor, marriage &amp; family therapist, addiction medicine. Medicare-enrolled clinicians only (excludes clinicians who do not bill Medicare and most IHS clinicians); counts reflect where practices are located, not where residents receive care. Statewide: 59.8 primary care physicians, 219.8 physicians, 7.3 psychiatrists per 100,000.</t>
        </is>
      </c>
    </row>
  </sheetData>
  <mergeCells count="1">
    <mergeCell ref="A33:N3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N1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2" customWidth="1" style="43" min="1" max="3"/>
    <col width="16" customWidth="1" style="43" min="4" max="4"/>
    <col width="12" customWidth="1" style="43" min="5" max="14"/>
  </cols>
  <sheetData>
    <row r="1" ht="48" customHeight="1" s="44">
      <c r="A1" s="50" t="inlineStr">
        <is>
          <t>County</t>
        </is>
      </c>
      <c r="B1" s="50" t="inlineStr">
        <is>
          <t>Population 2024</t>
        </is>
      </c>
      <c r="C1" s="50" t="inlineStr">
        <is>
          <t>Active MD+DO per 100k (2023)</t>
        </is>
      </c>
      <c r="D1" s="50" t="inlineStr">
        <is>
          <t>Primary care physicians per 100k (patient care, excl. residents, 2023)</t>
        </is>
      </c>
      <c r="E1" s="50" t="inlineStr">
        <is>
          <t>Psychiatrists per 100k</t>
        </is>
      </c>
      <c r="F1" s="50" t="inlineStr">
        <is>
          <t>Dentists per 100k</t>
        </is>
      </c>
      <c r="G1" s="50" t="inlineStr">
        <is>
          <t>NPs per 100k (2024)</t>
        </is>
      </c>
      <c r="H1" s="50" t="inlineStr">
        <is>
          <t>PAs per 100k (2024)</t>
        </is>
      </c>
      <c r="I1" s="50" t="inlineStr">
        <is>
          <t>Primary care HPSAs (designated)</t>
        </is>
      </c>
      <c r="J1" s="50" t="inlineStr">
        <is>
          <t>Primary care FTE shortage</t>
        </is>
      </c>
      <c r="K1" s="50" t="inlineStr">
        <is>
          <t>Dental HPSAs</t>
        </is>
      </c>
      <c r="L1" s="50" t="inlineStr">
        <is>
          <t>Dental FTE shortage</t>
        </is>
      </c>
      <c r="M1" s="50" t="inlineStr">
        <is>
          <t>Mental health HPSAs</t>
        </is>
      </c>
      <c r="N1" s="50" t="inlineStr">
        <is>
          <t>Mental health FTE shortage</t>
        </is>
      </c>
    </row>
    <row r="2" ht="15" customHeight="1" s="44">
      <c r="A2" s="51" t="inlineStr">
        <is>
          <t>Apache</t>
        </is>
      </c>
      <c r="B2" s="82" t="n">
        <v>64800</v>
      </c>
      <c r="C2" s="70" t="n">
        <v>89.2</v>
      </c>
      <c r="D2" s="70" t="n">
        <v>40</v>
      </c>
      <c r="E2" s="70" t="n">
        <v>1.5</v>
      </c>
      <c r="F2" s="70" t="n">
        <v>49.2</v>
      </c>
      <c r="G2" s="70" t="n">
        <v>84.90000000000001</v>
      </c>
      <c r="H2" s="70" t="n">
        <v>34</v>
      </c>
      <c r="I2" s="82" t="n">
        <v>13</v>
      </c>
      <c r="J2" s="70" t="n">
        <v>7.5</v>
      </c>
      <c r="K2" s="82" t="n">
        <v>14</v>
      </c>
      <c r="L2" s="70" t="n">
        <v>4.4</v>
      </c>
      <c r="M2" s="82" t="n">
        <v>14</v>
      </c>
      <c r="N2" s="70" t="n">
        <v>1.3</v>
      </c>
    </row>
    <row r="3" ht="15" customHeight="1" s="44">
      <c r="A3" s="51" t="inlineStr">
        <is>
          <t>Cochise</t>
        </is>
      </c>
      <c r="B3" s="82" t="n">
        <v>125773</v>
      </c>
      <c r="C3" s="70" t="n">
        <v>142.8</v>
      </c>
      <c r="D3" s="70" t="n">
        <v>57</v>
      </c>
      <c r="E3" s="70" t="n">
        <v>1.6</v>
      </c>
      <c r="F3" s="70" t="n">
        <v>40.9</v>
      </c>
      <c r="G3" s="70" t="n">
        <v>127.2</v>
      </c>
      <c r="H3" s="70" t="n">
        <v>20.7</v>
      </c>
      <c r="I3" s="82" t="n">
        <v>15</v>
      </c>
      <c r="J3" s="70" t="n">
        <v>12</v>
      </c>
      <c r="K3" s="82" t="n">
        <v>15</v>
      </c>
      <c r="L3" s="70" t="n">
        <v>8.6</v>
      </c>
      <c r="M3" s="82" t="n">
        <v>15</v>
      </c>
      <c r="N3" s="70" t="n">
        <v>6.8</v>
      </c>
    </row>
    <row r="4" ht="15" customHeight="1" s="44">
      <c r="A4" s="51" t="inlineStr">
        <is>
          <t>Coconino</t>
        </is>
      </c>
      <c r="B4" s="82" t="n">
        <v>145161</v>
      </c>
      <c r="C4" s="70" t="n">
        <v>296.9</v>
      </c>
      <c r="D4" s="70" t="n">
        <v>81.7</v>
      </c>
      <c r="E4" s="70" t="n">
        <v>13.2</v>
      </c>
      <c r="F4" s="70" t="n">
        <v>68.5</v>
      </c>
      <c r="G4" s="70" t="n">
        <v>122.6</v>
      </c>
      <c r="H4" s="70" t="n">
        <v>60.6</v>
      </c>
      <c r="I4" s="82" t="n">
        <v>17</v>
      </c>
      <c r="J4" s="70" t="n">
        <v>15.1</v>
      </c>
      <c r="K4" s="82" t="n">
        <v>16</v>
      </c>
      <c r="L4" s="70" t="n">
        <v>9.800000000000001</v>
      </c>
      <c r="M4" s="82" t="n">
        <v>16</v>
      </c>
      <c r="N4" s="70" t="n">
        <v>2.4</v>
      </c>
    </row>
    <row r="5" ht="15" customHeight="1" s="44">
      <c r="A5" s="51" t="inlineStr">
        <is>
          <t>Gila</t>
        </is>
      </c>
      <c r="B5" s="82" t="n">
        <v>54073</v>
      </c>
      <c r="C5" s="70" t="n">
        <v>129.6</v>
      </c>
      <c r="D5" s="70" t="n">
        <v>48.1</v>
      </c>
      <c r="E5" s="70" t="n">
        <v>3.7</v>
      </c>
      <c r="F5" s="70" t="n">
        <v>42.6</v>
      </c>
      <c r="G5" s="70" t="n">
        <v>62.9</v>
      </c>
      <c r="H5" s="70" t="n">
        <v>44.4</v>
      </c>
      <c r="I5" s="82" t="n">
        <v>12</v>
      </c>
      <c r="J5" s="70" t="n">
        <v>6.2</v>
      </c>
      <c r="K5" s="82" t="n">
        <v>12</v>
      </c>
      <c r="L5" s="70" t="n">
        <v>5.4</v>
      </c>
      <c r="M5" s="82" t="n">
        <v>12</v>
      </c>
      <c r="N5" s="70" t="n">
        <v>1.9</v>
      </c>
    </row>
    <row r="6" ht="15" customHeight="1" s="44">
      <c r="A6" s="51" t="inlineStr">
        <is>
          <t>Graham</t>
        </is>
      </c>
      <c r="B6" s="82" t="n">
        <v>40242</v>
      </c>
      <c r="C6" s="70" t="n">
        <v>83.5</v>
      </c>
      <c r="D6" s="70" t="n">
        <v>48.1</v>
      </c>
      <c r="E6" s="70" t="n">
        <v>0</v>
      </c>
      <c r="F6" s="70" t="n">
        <v>30.4</v>
      </c>
      <c r="G6" s="70" t="n">
        <v>84.5</v>
      </c>
      <c r="H6" s="70" t="n">
        <v>59.6</v>
      </c>
      <c r="I6" s="82" t="n">
        <v>9</v>
      </c>
      <c r="J6" s="70" t="n">
        <v>8.300000000000001</v>
      </c>
      <c r="K6" s="82" t="n">
        <v>9</v>
      </c>
      <c r="L6" s="70" t="n">
        <v>5.4</v>
      </c>
      <c r="M6" s="82" t="n">
        <v>9</v>
      </c>
      <c r="N6" s="70" t="n">
        <v>3.4</v>
      </c>
    </row>
    <row r="7" ht="15" customHeight="1" s="44">
      <c r="A7" s="51" t="inlineStr">
        <is>
          <t>Greenlee</t>
        </is>
      </c>
      <c r="B7" s="82" t="n">
        <v>9410</v>
      </c>
      <c r="C7" s="70" t="n">
        <v>74.7</v>
      </c>
      <c r="D7" s="70" t="n">
        <v>64</v>
      </c>
      <c r="E7" s="70" t="n">
        <v>0</v>
      </c>
      <c r="F7" s="70" t="n">
        <v>0</v>
      </c>
      <c r="G7" s="70" t="n">
        <v>42.5</v>
      </c>
      <c r="H7" s="70" t="n">
        <v>53.1</v>
      </c>
      <c r="I7" s="82" t="n">
        <v>1</v>
      </c>
      <c r="J7" s="70" t="n">
        <v>2.7</v>
      </c>
      <c r="K7" s="82" t="n">
        <v>1</v>
      </c>
      <c r="L7" s="70" t="n">
        <v>1.9</v>
      </c>
      <c r="M7" s="82" t="n">
        <v>1</v>
      </c>
      <c r="N7" s="70" t="n">
        <v>0.5</v>
      </c>
    </row>
    <row r="8" ht="15" customHeight="1" s="44">
      <c r="A8" s="51" t="inlineStr">
        <is>
          <t>La Paz</t>
        </is>
      </c>
      <c r="B8" s="82" t="n">
        <v>16992</v>
      </c>
      <c r="C8" s="70" t="n">
        <v>83.8</v>
      </c>
      <c r="D8" s="70" t="n">
        <v>23.9</v>
      </c>
      <c r="E8" s="70" t="n">
        <v>0</v>
      </c>
      <c r="F8" s="70" t="n">
        <v>29.9</v>
      </c>
      <c r="G8" s="70" t="n">
        <v>82.40000000000001</v>
      </c>
      <c r="H8" s="70" t="n">
        <v>29.4</v>
      </c>
      <c r="I8" s="82" t="n">
        <v>10</v>
      </c>
      <c r="J8" s="70" t="n">
        <v>3.6</v>
      </c>
      <c r="K8" s="82" t="n">
        <v>10</v>
      </c>
      <c r="L8" s="70" t="n">
        <v>1.7</v>
      </c>
      <c r="M8" s="82" t="n">
        <v>10</v>
      </c>
      <c r="N8" s="70" t="n">
        <v>0.8</v>
      </c>
    </row>
    <row r="9" ht="15" customHeight="1" s="44">
      <c r="A9" s="51" t="inlineStr">
        <is>
          <t>Maricopa</t>
        </is>
      </c>
      <c r="B9" s="82" t="n">
        <v>4673096</v>
      </c>
      <c r="C9" s="70" t="n">
        <v>304.1</v>
      </c>
      <c r="D9" s="70" t="n">
        <v>67.3</v>
      </c>
      <c r="E9" s="70" t="n">
        <v>8.6</v>
      </c>
      <c r="F9" s="70" t="n">
        <v>68.3</v>
      </c>
      <c r="G9" s="70" t="n">
        <v>133.9</v>
      </c>
      <c r="H9" s="70" t="n">
        <v>72.2</v>
      </c>
      <c r="I9" s="82" t="n">
        <v>50</v>
      </c>
      <c r="J9" s="70" t="n">
        <v>188.6</v>
      </c>
      <c r="K9" s="82" t="n">
        <v>43</v>
      </c>
      <c r="L9" s="70" t="n">
        <v>73.3</v>
      </c>
      <c r="M9" s="82" t="n">
        <v>37</v>
      </c>
      <c r="N9" s="70" t="n">
        <v>19.8</v>
      </c>
    </row>
    <row r="10" ht="15" customHeight="1" s="44">
      <c r="A10" s="51" t="inlineStr">
        <is>
          <t>Mohave</t>
        </is>
      </c>
      <c r="B10" s="82" t="n">
        <v>226479</v>
      </c>
      <c r="C10" s="70" t="n">
        <v>174.4</v>
      </c>
      <c r="D10" s="70" t="n">
        <v>48.7</v>
      </c>
      <c r="E10" s="70" t="n">
        <v>3.1</v>
      </c>
      <c r="F10" s="70" t="n">
        <v>35.8</v>
      </c>
      <c r="G10" s="70" t="n">
        <v>92.3</v>
      </c>
      <c r="H10" s="70" t="n">
        <v>37.5</v>
      </c>
      <c r="I10" s="82" t="n">
        <v>12</v>
      </c>
      <c r="J10" s="70" t="n">
        <v>26.4</v>
      </c>
      <c r="K10" s="82" t="n">
        <v>11</v>
      </c>
      <c r="L10" s="70" t="n">
        <v>15.5</v>
      </c>
      <c r="M10" s="82" t="n">
        <v>11</v>
      </c>
      <c r="N10" s="70" t="n">
        <v>7</v>
      </c>
    </row>
    <row r="11" ht="15" customHeight="1" s="44">
      <c r="A11" s="51" t="inlineStr">
        <is>
          <t>Navajo</t>
        </is>
      </c>
      <c r="B11" s="82" t="n">
        <v>109516</v>
      </c>
      <c r="C11" s="70" t="n">
        <v>142.9</v>
      </c>
      <c r="D11" s="70" t="n">
        <v>58.6</v>
      </c>
      <c r="E11" s="70" t="n">
        <v>1.8</v>
      </c>
      <c r="F11" s="70" t="n">
        <v>53.1</v>
      </c>
      <c r="G11" s="70" t="n">
        <v>99.5</v>
      </c>
      <c r="H11" s="70" t="n">
        <v>44.7</v>
      </c>
      <c r="I11" s="82" t="n">
        <v>21</v>
      </c>
      <c r="J11" s="70" t="n">
        <v>10.2</v>
      </c>
      <c r="K11" s="82" t="n">
        <v>20</v>
      </c>
      <c r="L11" s="70" t="n">
        <v>8</v>
      </c>
      <c r="M11" s="82" t="n">
        <v>21</v>
      </c>
      <c r="N11" s="70" t="n">
        <v>5</v>
      </c>
    </row>
    <row r="12" ht="15" customHeight="1" s="44">
      <c r="A12" s="51" t="inlineStr">
        <is>
          <t>Pima</t>
        </is>
      </c>
      <c r="B12" s="82" t="n">
        <v>1080149</v>
      </c>
      <c r="C12" s="70" t="n">
        <v>435.6</v>
      </c>
      <c r="D12" s="70" t="n">
        <v>85.3</v>
      </c>
      <c r="E12" s="70" t="n">
        <v>17.4</v>
      </c>
      <c r="F12" s="70" t="n">
        <v>53.7</v>
      </c>
      <c r="G12" s="70" t="n">
        <v>139.9</v>
      </c>
      <c r="H12" s="70" t="n">
        <v>34.4</v>
      </c>
      <c r="I12" s="82" t="n">
        <v>29</v>
      </c>
      <c r="J12" s="70" t="n">
        <v>70.8</v>
      </c>
      <c r="K12" s="82" t="n">
        <v>27</v>
      </c>
      <c r="L12" s="70" t="n">
        <v>45.8</v>
      </c>
      <c r="M12" s="82" t="n">
        <v>29</v>
      </c>
      <c r="N12" s="70" t="n">
        <v>19.8</v>
      </c>
    </row>
    <row r="13" ht="15" customHeight="1" s="44">
      <c r="A13" s="51" t="inlineStr">
        <is>
          <t>Pinal</t>
        </is>
      </c>
      <c r="B13" s="82" t="n">
        <v>513862</v>
      </c>
      <c r="C13" s="70" t="n">
        <v>41.7</v>
      </c>
      <c r="D13" s="70" t="n">
        <v>17.3</v>
      </c>
      <c r="E13" s="70" t="n">
        <v>1.7</v>
      </c>
      <c r="F13" s="70" t="n">
        <v>23.7</v>
      </c>
      <c r="G13" s="70" t="n">
        <v>63.2</v>
      </c>
      <c r="H13" s="70" t="n">
        <v>20.2</v>
      </c>
      <c r="I13" s="82" t="n">
        <v>26</v>
      </c>
      <c r="J13" s="70" t="n">
        <v>71.90000000000001</v>
      </c>
      <c r="K13" s="82" t="n">
        <v>20</v>
      </c>
      <c r="L13" s="70" t="n">
        <v>27.3</v>
      </c>
      <c r="M13" s="82" t="n">
        <v>24</v>
      </c>
      <c r="N13" s="70" t="n">
        <v>25.5</v>
      </c>
    </row>
    <row r="14" ht="15" customHeight="1" s="44">
      <c r="A14" s="51" t="inlineStr">
        <is>
          <t>Santa Cruz</t>
        </is>
      </c>
      <c r="B14" s="82" t="n">
        <v>50508</v>
      </c>
      <c r="C14" s="70" t="n">
        <v>87.5</v>
      </c>
      <c r="D14" s="70" t="n">
        <v>38.7</v>
      </c>
      <c r="E14" s="70" t="n">
        <v>0</v>
      </c>
      <c r="F14" s="70" t="n">
        <v>16.3</v>
      </c>
      <c r="G14" s="70" t="n">
        <v>35.6</v>
      </c>
      <c r="H14" s="70" t="n">
        <v>7.9</v>
      </c>
      <c r="I14" s="82" t="n">
        <v>3</v>
      </c>
      <c r="J14" s="70" t="n">
        <v>5.9</v>
      </c>
      <c r="K14" s="82" t="n">
        <v>3</v>
      </c>
      <c r="L14" s="70" t="n">
        <v>6.3</v>
      </c>
      <c r="M14" s="82" t="n">
        <v>3</v>
      </c>
      <c r="N14" s="70" t="n">
        <v>2.1</v>
      </c>
    </row>
    <row r="15" ht="15" customHeight="1" s="44">
      <c r="A15" s="51" t="inlineStr">
        <is>
          <t>Yavapai</t>
        </is>
      </c>
      <c r="B15" s="82" t="n">
        <v>252013</v>
      </c>
      <c r="C15" s="70" t="n">
        <v>197.5</v>
      </c>
      <c r="D15" s="70" t="n">
        <v>47.8</v>
      </c>
      <c r="E15" s="70" t="n">
        <v>10</v>
      </c>
      <c r="F15" s="70" t="n">
        <v>54.2</v>
      </c>
      <c r="G15" s="70" t="n">
        <v>133.7</v>
      </c>
      <c r="H15" s="70" t="n">
        <v>47.6</v>
      </c>
      <c r="I15" s="82" t="n">
        <v>10</v>
      </c>
      <c r="J15" s="70" t="n">
        <v>14.8</v>
      </c>
      <c r="K15" s="82" t="n">
        <v>8</v>
      </c>
      <c r="L15" s="70" t="n">
        <v>10.8</v>
      </c>
      <c r="M15" s="82" t="n">
        <v>9</v>
      </c>
      <c r="N15" s="70" t="n">
        <v>5.9</v>
      </c>
    </row>
    <row r="16" ht="15" customHeight="1" s="44">
      <c r="A16" s="51" t="inlineStr">
        <is>
          <t>Yuma</t>
        </is>
      </c>
      <c r="B16" s="82" t="n">
        <v>220310</v>
      </c>
      <c r="C16" s="70" t="n">
        <v>151</v>
      </c>
      <c r="D16" s="70" t="n">
        <v>41.7</v>
      </c>
      <c r="E16" s="70" t="n">
        <v>2.3</v>
      </c>
      <c r="F16" s="70" t="n">
        <v>23.9</v>
      </c>
      <c r="G16" s="70" t="n">
        <v>85.8</v>
      </c>
      <c r="H16" s="70" t="n">
        <v>33.6</v>
      </c>
      <c r="I16" s="82" t="n">
        <v>7</v>
      </c>
      <c r="J16" s="70" t="n">
        <v>24.9</v>
      </c>
      <c r="K16" s="82" t="n">
        <v>7</v>
      </c>
      <c r="L16" s="70" t="n">
        <v>17.6</v>
      </c>
      <c r="M16" s="82" t="n">
        <v>7</v>
      </c>
      <c r="N16" s="70" t="n">
        <v>8.199999999999999</v>
      </c>
    </row>
    <row r="17"/>
    <row r="18" ht="109.5" customHeight="1" s="44">
      <c r="A18" s="46" t="inlineStr">
        <is>
          <t>Sources: HRSA Area Health Resources File 2024-2025 (https://data.hrsa.gov/topics/health-workforce/ahrf; physician counts from AMA/AOA 2023, NP/PA from NPPES 2024); HRSA HPSA designation files for Primary Care, Dental Health and Mental Health (https://data.hrsa.gov/data/download), Designated status only, warehouse date Sept 5 2026. Facility HPSAs counted in the county of the facility; multi-county HPSAs counted in each county with the FTE shortage split equally. Statewide designated HPSAs: primary care 227 (468.8 FTE short), dental 210 (241.9), mental health 212 (110.5). Context: UA Center for Rural Health (Dec 2024) - Arizona needs 493 PCP FTEs and meets 35.4%% of need; Derksen (Feb 2025) - 80 PCPs per 100,000 (rank 42) and 256 active physicians per 100,000 (rank 32).</t>
        </is>
      </c>
    </row>
  </sheetData>
  <mergeCells count="1">
    <mergeCell ref="A18:N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2026-09-04T15:12:27Z</dcterms:created>
  <dcterms:modified xmlns:dcterms="http://purl.org/dc/terms/" xmlns:xsi="http://www.w3.org/2001/XMLSchema-instance" xsi:type="dcterms:W3CDTF">2026-09-10T20:54:23Z</dcterms:modified>
  <cp:revision>0</cp:revision>
</cp:coreProperties>
</file>